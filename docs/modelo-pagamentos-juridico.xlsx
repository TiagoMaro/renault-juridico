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Resultado" sheetId="2" state="visible" r:id="rId2"/>
    <sheet xmlns:r="http://schemas.openxmlformats.org/officeDocument/2006/relationships" name="LGPD" sheetId="3" state="visible" r:id="rId3"/>
    <sheet xmlns:r="http://schemas.openxmlformats.org/officeDocument/2006/relationships" name="Controle Lançamentos" sheetId="4" state="visible" r:id="rId4"/>
    <sheet xmlns:r="http://schemas.openxmlformats.org/officeDocument/2006/relationships" name="RAP PAGAMENTOS" sheetId="5" state="visible" r:id="rId5"/>
    <sheet xmlns:r="http://schemas.openxmlformats.org/officeDocument/2006/relationships" name="Adiantamentos" sheetId="6" state="visible" r:id="rId6"/>
    <sheet xmlns:r="http://schemas.openxmlformats.org/officeDocument/2006/relationships" name="Honorarios Variaveis " sheetId="7" state="visible" r:id="rId7"/>
    <sheet xmlns:r="http://schemas.openxmlformats.org/officeDocument/2006/relationships" name="Mensais" sheetId="8" state="visible" r:id="rId8"/>
    <sheet xmlns:r="http://schemas.openxmlformats.org/officeDocument/2006/relationships" name="Devoluções" sheetId="9" state="visible" r:id="rId9"/>
    <sheet xmlns:r="http://schemas.openxmlformats.org/officeDocument/2006/relationships" name="RF MENS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PAGAMENTO</t>
        </is>
      </c>
      <c r="C1" t="inlineStr">
        <is>
          <t>Fornecedor</t>
        </is>
      </c>
      <c r="D1" t="inlineStr">
        <is>
          <t>Motivo</t>
        </is>
      </c>
      <c r="E1" t="inlineStr">
        <is>
          <t>Fixo/Varíavel</t>
        </is>
      </c>
      <c r="F1" t="inlineStr">
        <is>
          <t>EDOA</t>
        </is>
      </c>
    </row>
    <row r="2">
      <c r="A2" t="inlineStr">
        <is>
          <t>Acordo Projeto SAC</t>
        </is>
      </c>
      <c r="B2" t="inlineStr">
        <is>
          <t>Adiantamento</t>
        </is>
      </c>
      <c r="C2" t="inlineStr">
        <is>
          <t>Escritório Alfa Advogados</t>
        </is>
      </c>
      <c r="D2" t="inlineStr">
        <is>
          <t>Acordo</t>
        </is>
      </c>
      <c r="E2" t="inlineStr">
        <is>
          <t>Fixo</t>
        </is>
      </c>
      <c r="F2" t="inlineStr">
        <is>
          <t>CARTÓRIO</t>
        </is>
      </c>
    </row>
    <row r="3">
      <c r="A3" t="inlineStr">
        <is>
          <t>Cartório</t>
        </is>
      </c>
      <c r="B3" t="inlineStr">
        <is>
          <t>Interno</t>
        </is>
      </c>
      <c r="C3" t="inlineStr">
        <is>
          <t>Beta &amp; Associados</t>
        </is>
      </c>
      <c r="D3" t="inlineStr">
        <is>
          <t>Projuris</t>
        </is>
      </c>
      <c r="E3" t="inlineStr">
        <is>
          <t xml:space="preserve">Fixo valor variável </t>
        </is>
      </c>
      <c r="F3" t="inlineStr">
        <is>
          <t xml:space="preserve">Depósito Judicial </t>
        </is>
      </c>
    </row>
    <row r="4">
      <c r="A4" t="inlineStr">
        <is>
          <t>Cível</t>
        </is>
      </c>
      <c r="C4" t="inlineStr">
        <is>
          <t>Gama Consultoria Jurídica</t>
        </is>
      </c>
      <c r="D4" t="inlineStr">
        <is>
          <t>Condenação</t>
        </is>
      </c>
      <c r="E4" t="inlineStr">
        <is>
          <t>Variável pontual</t>
        </is>
      </c>
      <c r="F4" t="inlineStr">
        <is>
          <t>HONORÁRIOS E DESPESAS</t>
        </is>
      </c>
    </row>
    <row r="5">
      <c r="A5" t="inlineStr">
        <is>
          <t>Consumidor</t>
        </is>
      </c>
      <c r="C5" t="inlineStr">
        <is>
          <t>Delta Advocacia</t>
        </is>
      </c>
      <c r="D5" t="inlineStr">
        <is>
          <t>Custas</t>
        </is>
      </c>
      <c r="F5" t="inlineStr">
        <is>
          <t>LGPD GERAL &amp; TERCEIROS</t>
        </is>
      </c>
    </row>
    <row r="6">
      <c r="A6" t="inlineStr">
        <is>
          <t xml:space="preserve">LGPD </t>
        </is>
      </c>
      <c r="D6" t="inlineStr">
        <is>
          <t>Depósito Judicial</t>
        </is>
      </c>
      <c r="F6" t="inlineStr">
        <is>
          <t>OUTRA ÁREA</t>
        </is>
      </c>
    </row>
    <row r="7">
      <c r="A7" t="inlineStr">
        <is>
          <t>Trabalhista</t>
        </is>
      </c>
      <c r="D7" t="inlineStr">
        <is>
          <t>Despesas</t>
        </is>
      </c>
      <c r="F7" t="inlineStr">
        <is>
          <t>OUTROS (Jurídico)</t>
        </is>
      </c>
    </row>
    <row r="8">
      <c r="A8" t="inlineStr">
        <is>
          <t>Tributário</t>
        </is>
      </c>
      <c r="D8" t="inlineStr">
        <is>
          <t>Honorários</t>
        </is>
      </c>
      <c r="F8" t="inlineStr">
        <is>
          <t>CORPORATE</t>
        </is>
      </c>
    </row>
    <row r="9">
      <c r="A9" t="inlineStr">
        <is>
          <t>Societário</t>
        </is>
      </c>
      <c r="D9" t="inlineStr">
        <is>
          <t>Juros e correção</t>
        </is>
      </c>
      <c r="F9" t="inlineStr">
        <is>
          <t>ACORDOS CONSUMIDOR</t>
        </is>
      </c>
    </row>
    <row r="10">
      <c r="A10" t="inlineStr">
        <is>
          <t>Rede</t>
        </is>
      </c>
      <c r="D10" t="inlineStr">
        <is>
          <t>LGPD</t>
        </is>
      </c>
      <c r="F10" t="inlineStr">
        <is>
          <t>ACORDOS SAC</t>
        </is>
      </c>
    </row>
    <row r="11">
      <c r="A11" t="inlineStr">
        <is>
          <t>Serviços terceirizados</t>
        </is>
      </c>
      <c r="F11" t="inlineStr">
        <is>
          <t>TRABALHISTA GERAL</t>
        </is>
      </c>
    </row>
    <row r="12">
      <c r="A12" t="inlineStr">
        <is>
          <t>Projuris SUPRAMONTE</t>
        </is>
      </c>
      <c r="F12" t="inlineStr">
        <is>
          <t>TRABALHISTA ACORDOS</t>
        </is>
      </c>
    </row>
    <row r="13">
      <c r="F13" t="inlineStr">
        <is>
          <t>PIF/PDV</t>
        </is>
      </c>
    </row>
    <row r="14">
      <c r="F14" t="inlineStr">
        <is>
          <t>SISTEMAS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APENAS UM FILTRO POR MESES</t>
        </is>
      </c>
    </row>
    <row r="2">
      <c r="B2" t="inlineStr">
        <is>
          <t>MÊS</t>
        </is>
      </c>
      <c r="C2" t="inlineStr">
        <is>
          <t>Março</t>
        </is>
      </c>
    </row>
    <row r="4">
      <c r="B4" t="inlineStr">
        <is>
          <t>CATEGORIA</t>
        </is>
      </c>
      <c r="C4" t="inlineStr">
        <is>
          <t>DOA</t>
        </is>
      </c>
      <c r="D4" t="inlineStr">
        <is>
          <t>PERÍODO</t>
        </is>
      </c>
      <c r="E4" t="inlineStr">
        <is>
          <t>IMPACTO</t>
        </is>
      </c>
      <c r="F4" t="inlineStr">
        <is>
          <t>R$ GASTO MENSAL</t>
        </is>
      </c>
      <c r="G4" t="inlineStr">
        <is>
          <t>R$ GASTO ANUAL</t>
        </is>
      </c>
    </row>
    <row r="5">
      <c r="B5" t="inlineStr">
        <is>
          <t>RDB - CONS</t>
        </is>
      </c>
      <c r="C5" t="inlineStr">
        <is>
          <t>ACORDOS CONSUMIDOR + SAC</t>
        </is>
      </c>
      <c r="D5">
        <f>$C$2</f>
        <v/>
      </c>
      <c r="E5" t="inlineStr">
        <is>
          <t>APCO</t>
        </is>
      </c>
    </row>
    <row r="6">
      <c r="B6" t="inlineStr">
        <is>
          <t>RDB - CONS</t>
        </is>
      </c>
      <c r="C6" t="inlineStr">
        <is>
          <t>CORPORATE</t>
        </is>
      </c>
      <c r="D6">
        <f>$C$2</f>
        <v/>
      </c>
      <c r="E6" t="inlineStr">
        <is>
          <t>APCO</t>
        </is>
      </c>
      <c r="F6">
        <f>SUMIFS('Controle Lançamentos'!G:G,'Controle Lançamentos'!B:B,B6,'Controle Lançamentos'!H:H,D6,'Controle Lançamentos'!Q:Q,Resultado!C6)</f>
        <v/>
      </c>
      <c r="G6">
        <f>SUMIFS('Controle Lançamentos'!G:G,'Controle Lançamentos'!B:B,B6,'Controle Lançamentos'!Q:Q,Resultado!C6)</f>
        <v/>
      </c>
    </row>
    <row r="7">
      <c r="B7" t="inlineStr">
        <is>
          <t>RDB - CONS</t>
        </is>
      </c>
      <c r="C7" t="inlineStr">
        <is>
          <t>HONORÁRIOS E DESPESAS</t>
        </is>
      </c>
      <c r="D7">
        <f>$C$2</f>
        <v/>
      </c>
      <c r="E7" t="inlineStr">
        <is>
          <t>G&amp;A</t>
        </is>
      </c>
      <c r="F7">
        <f>SUMIFS('Controle Lançamentos'!G:G,'Controle Lançamentos'!B:B,B7,'Controle Lançamentos'!H:H,D7,'Controle Lançamentos'!Q:Q,Resultado!C7)</f>
        <v/>
      </c>
      <c r="G7">
        <f>SUMIFS('Controle Lançamentos'!G:G,'Controle Lançamentos'!B:B,B7,'Controle Lançamentos'!Q:Q,Resultado!C7)</f>
        <v/>
      </c>
    </row>
    <row r="8">
      <c r="B8" t="inlineStr">
        <is>
          <t>RDB - TRAB CVP</t>
        </is>
      </c>
      <c r="C8" t="inlineStr">
        <is>
          <t>TRABALHISTA GERAL</t>
        </is>
      </c>
      <c r="D8">
        <f>$C$2</f>
        <v/>
      </c>
      <c r="E8" t="inlineStr">
        <is>
          <t>MASSA</t>
        </is>
      </c>
      <c r="F8">
        <f>SUMIFS('Controle Lançamentos'!G:G,'Controle Lançamentos'!B:B,B8,'Controle Lançamentos'!H:H,D8,'Controle Lançamentos'!Q:Q,Resultado!C8)</f>
        <v/>
      </c>
      <c r="G8">
        <f>SUMIFS('Controle Lançamentos'!G:G,'Controle Lançamentos'!B:B,B8,'Controle Lançamentos'!Q:Q,Resultado!C8)</f>
        <v/>
      </c>
    </row>
    <row r="9">
      <c r="B9" t="inlineStr">
        <is>
          <t>RDB - TRAB SUPORTE</t>
        </is>
      </c>
      <c r="C9" t="inlineStr">
        <is>
          <t>TRABALHISTA ACORDOS</t>
        </is>
      </c>
      <c r="D9">
        <f>$C$2</f>
        <v/>
      </c>
      <c r="E9" t="inlineStr">
        <is>
          <t>G&amp;A</t>
        </is>
      </c>
      <c r="F9">
        <f>SUMIFS('Controle Lançamentos'!G:G,'Controle Lançamentos'!B:B,B9,'Controle Lançamentos'!H:H,D9,'Controle Lançamentos'!Q:Q,Resultado!C9)</f>
        <v/>
      </c>
      <c r="G9">
        <f>SUMIFS('Controle Lançamentos'!G:G,'Controle Lançamentos'!B:B,B9,'Controle Lançamentos'!Q:Q,Resultado!C9)</f>
        <v/>
      </c>
    </row>
    <row r="10">
      <c r="B10" t="inlineStr">
        <is>
          <t>RDB - TRAB PIF</t>
        </is>
      </c>
      <c r="C10" t="inlineStr">
        <is>
          <t>PIF/PDV</t>
        </is>
      </c>
      <c r="D10">
        <f>$C$2</f>
        <v/>
      </c>
      <c r="E10" t="inlineStr">
        <is>
          <t>APCE</t>
        </is>
      </c>
      <c r="F10">
        <f>SUMIFS('Controle Lançamentos'!G:G,'Controle Lançamentos'!B:B,B10,'Controle Lançamentos'!H:H,D10,'Controle Lançamentos'!Q:Q,Resultado!C10)</f>
        <v/>
      </c>
      <c r="G10">
        <f>SUMIFS('Controle Lançamentos'!G:G,'Controle Lançamentos'!B:B,B10,'Controle Lançamentos'!Q:Q,Resultado!C10)</f>
        <v/>
      </c>
    </row>
    <row r="11">
      <c r="B11" t="inlineStr">
        <is>
          <t>RDB - TRIB</t>
        </is>
      </c>
      <c r="C11" t="inlineStr">
        <is>
          <t>CORPORATE</t>
        </is>
      </c>
      <c r="D11">
        <f>$C$2</f>
        <v/>
      </c>
      <c r="E11" t="inlineStr">
        <is>
          <t>APCO</t>
        </is>
      </c>
      <c r="F11">
        <f>SUMIFS('Controle Lançamentos'!G:G,'Controle Lançamentos'!B:B,B11,'Controle Lançamentos'!H:H,D11,'Controle Lançamentos'!Q:Q,Resultado!C11)</f>
        <v/>
      </c>
      <c r="G11">
        <f>SUMIFS('Controle Lançamentos'!G:G,'Controle Lançamentos'!B:B,B11,'Controle Lançamentos'!Q:Q,Resultado!C11)</f>
        <v/>
      </c>
    </row>
    <row r="12">
      <c r="B12" t="inlineStr">
        <is>
          <t>Juros e correção</t>
        </is>
      </c>
      <c r="D12">
        <f>$C$2</f>
        <v/>
      </c>
      <c r="E12" t="inlineStr">
        <is>
          <t>Juros e correção</t>
        </is>
      </c>
    </row>
    <row r="14">
      <c r="G14">
        <f>SUM(G6:G11)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RowHeight="15"/>
  <sheetData>
    <row r="2">
      <c r="A2" t="inlineStr">
        <is>
          <t>EDOA</t>
        </is>
      </c>
      <c r="B2" t="inlineStr">
        <is>
          <t>LGPD GERAL &amp; TERCEIROS</t>
        </is>
      </c>
    </row>
    <row r="4">
      <c r="A4" t="inlineStr">
        <is>
          <t>Soma de Valor</t>
        </is>
      </c>
      <c r="B4" t="inlineStr">
        <is>
          <t>Rótulos de Coluna</t>
        </is>
      </c>
    </row>
    <row r="5">
      <c r="A5" t="inlineStr">
        <is>
          <t>Rótulos de Linha</t>
        </is>
      </c>
      <c r="B5" t="inlineStr">
        <is>
          <t>Fixo</t>
        </is>
      </c>
      <c r="C5" t="inlineStr">
        <is>
          <t>Variável pontual</t>
        </is>
      </c>
      <c r="D5" t="inlineStr">
        <is>
          <t>Total Geral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CATEGORIA</t>
        </is>
      </c>
      <c r="C1" t="inlineStr">
        <is>
          <t>ÁREA</t>
        </is>
      </c>
      <c r="D1" t="inlineStr">
        <is>
          <t>PAGAMENTO</t>
        </is>
      </c>
      <c r="E1" t="inlineStr">
        <is>
          <t>REFERÊNCIA</t>
        </is>
      </c>
      <c r="F1" t="inlineStr">
        <is>
          <t>MOTIVO</t>
        </is>
      </c>
      <c r="G1" t="inlineStr">
        <is>
          <t>Valor</t>
        </is>
      </c>
      <c r="H1" t="inlineStr">
        <is>
          <t>MÊS REFERENCIA</t>
        </is>
      </c>
      <c r="I1" t="inlineStr">
        <is>
          <t>DATA PAGAMENTO</t>
        </is>
      </c>
      <c r="J1" t="inlineStr">
        <is>
          <t>RECORRÊNCIA</t>
        </is>
      </c>
      <c r="K1" t="inlineStr">
        <is>
          <t>DESCRIÇÃO</t>
        </is>
      </c>
      <c r="L1" t="inlineStr">
        <is>
          <t>RC</t>
        </is>
      </c>
      <c r="M1" t="inlineStr">
        <is>
          <t>Nº PEDIDO</t>
        </is>
      </c>
      <c r="N1" t="inlineStr">
        <is>
          <t>Recepção</t>
        </is>
      </c>
      <c r="O1" t="inlineStr">
        <is>
          <t>ITEM</t>
        </is>
      </c>
      <c r="P1" t="inlineStr">
        <is>
          <t>CHAMADO</t>
        </is>
      </c>
      <c r="Q1" t="inlineStr">
        <is>
          <t>EDOA</t>
        </is>
      </c>
      <c r="R1" t="inlineStr">
        <is>
          <t>CENTRO DE CUSTO</t>
        </is>
      </c>
      <c r="S1" t="inlineStr">
        <is>
          <t>CONTA CONTÁBIL</t>
        </is>
      </c>
      <c r="T1" t="inlineStr">
        <is>
          <t>ENVIO PARA PAGAMENTO</t>
        </is>
      </c>
      <c r="U1" t="inlineStr">
        <is>
          <t>PAGO / Nº DOCUMENTO</t>
        </is>
      </c>
    </row>
    <row r="2">
      <c r="A2">
        <f>IF(U2&lt;&gt;"","Pago",IF(T2&lt;&gt;"","Enviado para pagamento",IF(N2&lt;&gt;"","Pedido Recepcionado",IF(M2&lt;&gt;"","Pedido Concluído",IF(L2&lt;&gt;"","RC Criada","Lançar Pgto")))))</f>
        <v/>
      </c>
      <c r="B2" t="inlineStr">
        <is>
          <t>RDB - CONS</t>
        </is>
      </c>
      <c r="C2" t="inlineStr">
        <is>
          <t>Consumidor</t>
        </is>
      </c>
      <c r="D2" t="inlineStr">
        <is>
          <t>Interno</t>
        </is>
      </c>
      <c r="E2" t="n">
        <v>1001</v>
      </c>
      <c r="F2" t="inlineStr">
        <is>
          <t>Honorários</t>
        </is>
      </c>
      <c r="G2" t="n">
        <v>30000</v>
      </c>
      <c r="H2" t="inlineStr">
        <is>
          <t>Janeiro</t>
        </is>
      </c>
      <c r="I2" t="inlineStr">
        <is>
          <t>05.02.2024</t>
        </is>
      </c>
      <c r="J2" t="inlineStr">
        <is>
          <t>Fixo</t>
        </is>
      </c>
      <c r="K2" t="inlineStr">
        <is>
          <t>Honorários Consumidor janeiro</t>
        </is>
      </c>
      <c r="L2" t="n">
        <v>25001001</v>
      </c>
      <c r="M2" t="n">
        <v>4500001001</v>
      </c>
      <c r="N2" t="n">
        <v>180001001</v>
      </c>
      <c r="O2" t="n">
        <v>10</v>
      </c>
      <c r="P2" t="inlineStr">
        <is>
          <t xml:space="preserve">1301001 </t>
        </is>
      </c>
      <c r="Q2" t="inlineStr">
        <is>
          <t>HONORÁRIOS E DESPESAS</t>
        </is>
      </c>
      <c r="R2" t="inlineStr">
        <is>
          <t xml:space="preserve"> GI52000</t>
        </is>
      </c>
      <c r="S2" t="n">
        <v>622600</v>
      </c>
      <c r="T2" t="inlineStr">
        <is>
          <t>24.01.2024</t>
        </is>
      </c>
      <c r="U2" t="n">
        <v>211401001</v>
      </c>
    </row>
    <row r="3">
      <c r="A3">
        <f>IF(U3&lt;&gt;"","Pago",IF(T3&lt;&gt;"","Enviado para pagamento",IF(N3&lt;&gt;"","Pedido Recepcionado",IF(M3&lt;&gt;"","Pedido Concluído",IF(L3&lt;&gt;"","RC Criada","Lançar Pgto")))))</f>
        <v/>
      </c>
      <c r="B3" t="inlineStr">
        <is>
          <t>RDB - CONS</t>
        </is>
      </c>
      <c r="C3" t="inlineStr">
        <is>
          <t>Consumidor</t>
        </is>
      </c>
      <c r="D3" t="inlineStr">
        <is>
          <t>Interno</t>
        </is>
      </c>
      <c r="E3" t="n">
        <v>1002</v>
      </c>
      <c r="F3" t="inlineStr">
        <is>
          <t>Condenação</t>
        </is>
      </c>
      <c r="G3" t="n">
        <v>40950.53</v>
      </c>
      <c r="H3" t="inlineStr">
        <is>
          <t>Janeiro</t>
        </is>
      </c>
      <c r="I3" t="inlineStr">
        <is>
          <t>09.02.2024</t>
        </is>
      </c>
      <c r="J3" t="inlineStr">
        <is>
          <t>Variável pontual</t>
        </is>
      </c>
      <c r="K3" t="inlineStr">
        <is>
          <t>Condenação Consumidor janeiro</t>
        </is>
      </c>
      <c r="L3" t="n">
        <v>25001002</v>
      </c>
      <c r="M3" t="n">
        <v>4500001002</v>
      </c>
      <c r="N3" t="n">
        <v>180001002</v>
      </c>
      <c r="O3" t="n">
        <v>10</v>
      </c>
      <c r="P3" t="inlineStr">
        <is>
          <t xml:space="preserve">1301002 </t>
        </is>
      </c>
      <c r="Q3" t="inlineStr">
        <is>
          <t>CORPORATE</t>
        </is>
      </c>
      <c r="R3" t="inlineStr">
        <is>
          <t xml:space="preserve"> GI52000</t>
        </is>
      </c>
      <c r="S3" t="n">
        <v>622600</v>
      </c>
      <c r="T3" t="inlineStr">
        <is>
          <t>24.01.2024</t>
        </is>
      </c>
      <c r="U3" t="n">
        <v>211401002</v>
      </c>
    </row>
    <row r="4">
      <c r="A4">
        <f>IF(U4&lt;&gt;"","Pago",IF(T4&lt;&gt;"","Enviado para pagamento",IF(N4&lt;&gt;"","Pedido Recepcionado",IF(M4&lt;&gt;"","Pedido Concluído",IF(L4&lt;&gt;"","RC Criada","Lançar Pgto")))))</f>
        <v/>
      </c>
      <c r="B4" t="inlineStr">
        <is>
          <t>RDB - CONS</t>
        </is>
      </c>
      <c r="C4" t="inlineStr">
        <is>
          <t>Consumidor</t>
        </is>
      </c>
      <c r="D4" t="inlineStr">
        <is>
          <t>Interno</t>
        </is>
      </c>
      <c r="E4" t="n">
        <v>1003</v>
      </c>
      <c r="F4" t="inlineStr">
        <is>
          <t>Acordo</t>
        </is>
      </c>
      <c r="G4" t="n">
        <v>10091.98</v>
      </c>
      <c r="H4" t="inlineStr">
        <is>
          <t>Janeiro</t>
        </is>
      </c>
      <c r="I4" t="inlineStr">
        <is>
          <t>23.02.2024</t>
        </is>
      </c>
      <c r="J4" t="inlineStr">
        <is>
          <t>Variável pontual</t>
        </is>
      </c>
      <c r="K4" t="inlineStr">
        <is>
          <t>Acordo Consumidor janeiro</t>
        </is>
      </c>
      <c r="L4" t="n">
        <v>25001003</v>
      </c>
      <c r="M4" t="n">
        <v>4500001003</v>
      </c>
      <c r="N4" t="n">
        <v>180001003</v>
      </c>
      <c r="O4" t="n">
        <v>10</v>
      </c>
      <c r="P4" t="inlineStr">
        <is>
          <t xml:space="preserve">1301003 </t>
        </is>
      </c>
      <c r="Q4" t="inlineStr">
        <is>
          <t>ACORDOS CONSUMIDOR</t>
        </is>
      </c>
      <c r="R4" t="inlineStr">
        <is>
          <t xml:space="preserve"> GI52000</t>
        </is>
      </c>
      <c r="S4" t="n">
        <v>622600</v>
      </c>
      <c r="T4" t="inlineStr">
        <is>
          <t>14.01.2024</t>
        </is>
      </c>
      <c r="U4" t="n">
        <v>211401003</v>
      </c>
    </row>
    <row r="5">
      <c r="A5">
        <f>IF(U5&lt;&gt;"","Pago",IF(T5&lt;&gt;"","Enviado para pagamento",IF(N5&lt;&gt;"","Pedido Recepcionado",IF(M5&lt;&gt;"","Pedido Concluído",IF(L5&lt;&gt;"","RC Criada","Lançar Pgto")))))</f>
        <v/>
      </c>
      <c r="B5" t="inlineStr">
        <is>
          <t>RDB - CONS</t>
        </is>
      </c>
      <c r="C5" t="inlineStr">
        <is>
          <t>Acordo Projeto SAC</t>
        </is>
      </c>
      <c r="D5" t="inlineStr">
        <is>
          <t>Interno</t>
        </is>
      </c>
      <c r="E5" t="n">
        <v>1004</v>
      </c>
      <c r="F5" t="inlineStr">
        <is>
          <t>Acordo</t>
        </is>
      </c>
      <c r="G5" t="n">
        <v>6501.7</v>
      </c>
      <c r="H5" t="inlineStr">
        <is>
          <t>Janeiro</t>
        </is>
      </c>
      <c r="I5" t="inlineStr">
        <is>
          <t>11.02.2024</t>
        </is>
      </c>
      <c r="J5" t="inlineStr">
        <is>
          <t>Variável pontual</t>
        </is>
      </c>
      <c r="K5" t="inlineStr">
        <is>
          <t>Acordo Acordo Projeto SAC janeiro</t>
        </is>
      </c>
      <c r="L5" t="n">
        <v>25001004</v>
      </c>
      <c r="M5" t="n">
        <v>4500001004</v>
      </c>
      <c r="N5" t="n">
        <v>180001004</v>
      </c>
      <c r="O5" t="n">
        <v>10</v>
      </c>
      <c r="P5" t="inlineStr">
        <is>
          <t xml:space="preserve">1301004 </t>
        </is>
      </c>
      <c r="Q5" t="inlineStr">
        <is>
          <t>ACORDOS SAC</t>
        </is>
      </c>
      <c r="R5" t="inlineStr">
        <is>
          <t xml:space="preserve"> GI52000</t>
        </is>
      </c>
      <c r="S5" t="n">
        <v>622600</v>
      </c>
      <c r="T5" t="inlineStr">
        <is>
          <t>08.01.2024</t>
        </is>
      </c>
      <c r="U5" t="n">
        <v>211401004</v>
      </c>
    </row>
    <row r="6">
      <c r="A6">
        <f>IF(U6&lt;&gt;"","Pago",IF(T6&lt;&gt;"","Enviado para pagamento",IF(N6&lt;&gt;"","Pedido Recepcionado",IF(M6&lt;&gt;"","Pedido Concluído",IF(L6&lt;&gt;"","RC Criada","Lançar Pgto")))))</f>
        <v/>
      </c>
      <c r="B6" t="inlineStr">
        <is>
          <t>RDB - DIV</t>
        </is>
      </c>
      <c r="C6" t="inlineStr">
        <is>
          <t>Cível</t>
        </is>
      </c>
      <c r="D6" t="inlineStr">
        <is>
          <t>Interno</t>
        </is>
      </c>
      <c r="E6" t="n">
        <v>1005</v>
      </c>
      <c r="F6" t="inlineStr">
        <is>
          <t>Honorários</t>
        </is>
      </c>
      <c r="G6" t="n">
        <v>6400</v>
      </c>
      <c r="H6" t="inlineStr">
        <is>
          <t>Janeiro</t>
        </is>
      </c>
      <c r="I6" t="inlineStr">
        <is>
          <t>22.02.2024</t>
        </is>
      </c>
      <c r="J6" t="inlineStr">
        <is>
          <t>Fixo</t>
        </is>
      </c>
      <c r="K6" t="inlineStr">
        <is>
          <t>Honorários Cível janeiro</t>
        </is>
      </c>
      <c r="L6" t="n">
        <v>25001005</v>
      </c>
      <c r="M6" t="n">
        <v>4500001005</v>
      </c>
      <c r="N6" t="n">
        <v>180001005</v>
      </c>
      <c r="O6" t="n">
        <v>10</v>
      </c>
      <c r="P6" t="inlineStr">
        <is>
          <t xml:space="preserve">1301005 </t>
        </is>
      </c>
      <c r="Q6" t="inlineStr">
        <is>
          <t>HONORÁRIOS E DESPESAS</t>
        </is>
      </c>
      <c r="R6" t="inlineStr">
        <is>
          <t xml:space="preserve"> GI52000</t>
        </is>
      </c>
      <c r="S6" t="n">
        <v>622600</v>
      </c>
      <c r="T6" t="inlineStr">
        <is>
          <t>07.01.2024</t>
        </is>
      </c>
      <c r="U6" t="n">
        <v>211401005</v>
      </c>
    </row>
    <row r="7">
      <c r="A7">
        <f>IF(U7&lt;&gt;"","Pago",IF(T7&lt;&gt;"","Enviado para pagamento",IF(N7&lt;&gt;"","Pedido Recepcionado",IF(M7&lt;&gt;"","Pedido Concluído",IF(L7&lt;&gt;"","RC Criada","Lançar Pgto")))))</f>
        <v/>
      </c>
      <c r="B7" t="inlineStr">
        <is>
          <t>RDB - DIV</t>
        </is>
      </c>
      <c r="C7" t="inlineStr">
        <is>
          <t>Cível</t>
        </is>
      </c>
      <c r="D7" t="inlineStr">
        <is>
          <t>ADIANTAMENTO</t>
        </is>
      </c>
      <c r="E7" t="n">
        <v>1006</v>
      </c>
      <c r="F7" t="inlineStr">
        <is>
          <t>Custas</t>
        </is>
      </c>
      <c r="G7" t="n">
        <v>977.77</v>
      </c>
      <c r="H7" t="inlineStr">
        <is>
          <t>Janeiro</t>
        </is>
      </c>
      <c r="I7" t="inlineStr">
        <is>
          <t>12.02.2024</t>
        </is>
      </c>
      <c r="J7" t="inlineStr">
        <is>
          <t>Variável pontual</t>
        </is>
      </c>
      <c r="K7" t="inlineStr">
        <is>
          <t>Custas Cível janeiro</t>
        </is>
      </c>
      <c r="L7" t="n">
        <v>25001006</v>
      </c>
      <c r="M7" t="n">
        <v>4500001006</v>
      </c>
      <c r="N7" t="n">
        <v>180001006</v>
      </c>
      <c r="O7" t="n">
        <v>10</v>
      </c>
      <c r="P7" t="inlineStr">
        <is>
          <t xml:space="preserve">1301006 </t>
        </is>
      </c>
      <c r="Q7" t="inlineStr">
        <is>
          <t>HONORÁRIOS E DESPESAS</t>
        </is>
      </c>
      <c r="R7" t="inlineStr">
        <is>
          <t xml:space="preserve"> GI52000</t>
        </is>
      </c>
      <c r="S7" t="n">
        <v>622600</v>
      </c>
      <c r="T7" t="inlineStr">
        <is>
          <t>15.01.2024</t>
        </is>
      </c>
      <c r="U7" t="n">
        <v>211401006</v>
      </c>
    </row>
    <row r="8">
      <c r="A8">
        <f>IF(U8&lt;&gt;"","Pago",IF(T8&lt;&gt;"","Enviado para pagamento",IF(N8&lt;&gt;"","Pedido Recepcionado",IF(M8&lt;&gt;"","Pedido Concluído",IF(L8&lt;&gt;"","RC Criada","Lançar Pgto")))))</f>
        <v/>
      </c>
      <c r="B8" t="inlineStr">
        <is>
          <t>RDB - TRAB CVP</t>
        </is>
      </c>
      <c r="C8" t="inlineStr">
        <is>
          <t>Trabalhista</t>
        </is>
      </c>
      <c r="D8" t="inlineStr">
        <is>
          <t>Interno</t>
        </is>
      </c>
      <c r="E8" t="n">
        <v>1007</v>
      </c>
      <c r="F8" t="inlineStr">
        <is>
          <t>Condenação</t>
        </is>
      </c>
      <c r="G8" t="n">
        <v>25892.66</v>
      </c>
      <c r="H8" t="inlineStr">
        <is>
          <t>Janeiro</t>
        </is>
      </c>
      <c r="I8" t="inlineStr">
        <is>
          <t>10.02.2024</t>
        </is>
      </c>
      <c r="J8" t="inlineStr">
        <is>
          <t>Variável pontual</t>
        </is>
      </c>
      <c r="K8" t="inlineStr">
        <is>
          <t>Condenação Trabalhista janeiro</t>
        </is>
      </c>
      <c r="L8" t="n">
        <v>25001007</v>
      </c>
      <c r="M8" t="n">
        <v>4500001007</v>
      </c>
      <c r="N8" t="n">
        <v>180001007</v>
      </c>
      <c r="O8" t="n">
        <v>10</v>
      </c>
      <c r="P8" t="inlineStr">
        <is>
          <t xml:space="preserve">1301007 </t>
        </is>
      </c>
      <c r="Q8" t="inlineStr">
        <is>
          <t>TRABALHISTA GERAL</t>
        </is>
      </c>
      <c r="R8" t="inlineStr">
        <is>
          <t xml:space="preserve"> GI52000</t>
        </is>
      </c>
      <c r="S8" t="n">
        <v>622600</v>
      </c>
      <c r="T8" t="inlineStr">
        <is>
          <t>23.01.2024</t>
        </is>
      </c>
      <c r="U8" t="n">
        <v>211401007</v>
      </c>
    </row>
    <row r="9">
      <c r="A9">
        <f>IF(U9&lt;&gt;"","Pago",IF(T9&lt;&gt;"","Enviado para pagamento",IF(N9&lt;&gt;"","Pedido Recepcionado",IF(M9&lt;&gt;"","Pedido Concluído",IF(L9&lt;&gt;"","RC Criada","Lançar Pgto")))))</f>
        <v/>
      </c>
      <c r="B9" t="inlineStr">
        <is>
          <t>RDB - TRAB CVP</t>
        </is>
      </c>
      <c r="C9" t="inlineStr">
        <is>
          <t>Trabalhista</t>
        </is>
      </c>
      <c r="D9" t="inlineStr">
        <is>
          <t>ADIANTAMENTO</t>
        </is>
      </c>
      <c r="E9" t="n">
        <v>1008</v>
      </c>
      <c r="F9" t="inlineStr">
        <is>
          <t>acordo</t>
        </is>
      </c>
      <c r="G9" t="n">
        <v>14535.69</v>
      </c>
      <c r="H9" t="inlineStr">
        <is>
          <t>Janeiro</t>
        </is>
      </c>
      <c r="I9" t="inlineStr">
        <is>
          <t>09.02.2024</t>
        </is>
      </c>
      <c r="J9" t="inlineStr">
        <is>
          <t>variável pontual</t>
        </is>
      </c>
      <c r="K9" t="inlineStr">
        <is>
          <t>acordo Trabalhista janeiro</t>
        </is>
      </c>
      <c r="L9" t="n">
        <v>25001008</v>
      </c>
      <c r="M9" t="n">
        <v>4500001008</v>
      </c>
      <c r="N9" t="n">
        <v>180001008</v>
      </c>
      <c r="O9" t="n">
        <v>10</v>
      </c>
      <c r="P9" t="inlineStr">
        <is>
          <t xml:space="preserve">1301008 </t>
        </is>
      </c>
      <c r="Q9" t="inlineStr">
        <is>
          <t>TRABALHISTA GERAL</t>
        </is>
      </c>
      <c r="R9" t="inlineStr">
        <is>
          <t xml:space="preserve"> GI52000</t>
        </is>
      </c>
      <c r="S9" t="n">
        <v>622600</v>
      </c>
      <c r="T9" t="inlineStr">
        <is>
          <t>07.01.2024</t>
        </is>
      </c>
      <c r="U9" t="n">
        <v>211401008</v>
      </c>
    </row>
    <row r="10">
      <c r="A10">
        <f>IF(U10&lt;&gt;"","Pago",IF(T10&lt;&gt;"","Enviado para pagamento",IF(N10&lt;&gt;"","Pedido Recepcionado",IF(M10&lt;&gt;"","Pedido Concluído",IF(L10&lt;&gt;"","RC Criada","Lançar Pgto")))))</f>
        <v/>
      </c>
      <c r="B10" t="inlineStr">
        <is>
          <t>RDB - TRAB SUPORTE</t>
        </is>
      </c>
      <c r="C10" t="inlineStr">
        <is>
          <t>Trabalhista</t>
        </is>
      </c>
      <c r="D10" t="inlineStr">
        <is>
          <t>ADIANTAMENTO</t>
        </is>
      </c>
      <c r="E10" t="n">
        <v>1009</v>
      </c>
      <c r="F10" t="inlineStr">
        <is>
          <t>Acordo</t>
        </is>
      </c>
      <c r="G10" t="n">
        <v>10645.97</v>
      </c>
      <c r="H10" t="inlineStr">
        <is>
          <t>Janeiro</t>
        </is>
      </c>
      <c r="I10" t="inlineStr">
        <is>
          <t>08.02.2024</t>
        </is>
      </c>
      <c r="J10" t="inlineStr">
        <is>
          <t>Variável pontual</t>
        </is>
      </c>
      <c r="K10" t="inlineStr">
        <is>
          <t>Acordo Trabalhista janeiro</t>
        </is>
      </c>
      <c r="L10" t="n">
        <v>25001009</v>
      </c>
      <c r="M10" t="n">
        <v>4500001009</v>
      </c>
      <c r="N10" t="n">
        <v>180001009</v>
      </c>
      <c r="O10" t="n">
        <v>10</v>
      </c>
      <c r="P10" t="inlineStr">
        <is>
          <t xml:space="preserve">1301009 </t>
        </is>
      </c>
      <c r="Q10" t="inlineStr">
        <is>
          <t>TRABALHISTA ACORDOS</t>
        </is>
      </c>
      <c r="R10" t="inlineStr">
        <is>
          <t xml:space="preserve"> GI52000</t>
        </is>
      </c>
      <c r="S10" t="n">
        <v>622600</v>
      </c>
      <c r="T10" t="inlineStr">
        <is>
          <t>03.01.2024</t>
        </is>
      </c>
      <c r="U10" t="n">
        <v>211401009</v>
      </c>
    </row>
    <row r="11">
      <c r="A11">
        <f>IF(U11&lt;&gt;"","Pago",IF(T11&lt;&gt;"","Enviado para pagamento",IF(N11&lt;&gt;"","Pedido Recepcionado",IF(M11&lt;&gt;"","Pedido Concluído",IF(L11&lt;&gt;"","RC Criada","Lançar Pgto")))))</f>
        <v/>
      </c>
      <c r="B11" t="inlineStr">
        <is>
          <t>RDB - TRAB PIF</t>
        </is>
      </c>
      <c r="C11" t="inlineStr">
        <is>
          <t>Trabalhista</t>
        </is>
      </c>
      <c r="D11" t="inlineStr">
        <is>
          <t>ADIANTAMENTO</t>
        </is>
      </c>
      <c r="E11" t="n">
        <v>1010</v>
      </c>
      <c r="F11" t="inlineStr">
        <is>
          <t>Acordo</t>
        </is>
      </c>
      <c r="G11" t="n">
        <v>19039.42</v>
      </c>
      <c r="H11" t="inlineStr">
        <is>
          <t>Janeiro</t>
        </is>
      </c>
      <c r="I11" t="inlineStr">
        <is>
          <t>16.02.2024</t>
        </is>
      </c>
      <c r="J11" t="inlineStr">
        <is>
          <t>Variável pontual</t>
        </is>
      </c>
      <c r="K11" t="inlineStr">
        <is>
          <t>Acordo Trabalhista janeiro</t>
        </is>
      </c>
      <c r="L11" t="n">
        <v>25001010</v>
      </c>
      <c r="M11" t="n">
        <v>4500001010</v>
      </c>
      <c r="N11" t="n">
        <v>180001010</v>
      </c>
      <c r="O11" t="n">
        <v>10</v>
      </c>
      <c r="P11" t="inlineStr">
        <is>
          <t xml:space="preserve">1301010 </t>
        </is>
      </c>
      <c r="Q11" t="inlineStr">
        <is>
          <t>PIF/PDV</t>
        </is>
      </c>
      <c r="R11" t="inlineStr">
        <is>
          <t xml:space="preserve"> GI52000</t>
        </is>
      </c>
      <c r="S11" t="n">
        <v>622600</v>
      </c>
      <c r="T11" t="inlineStr">
        <is>
          <t>20.01.2024</t>
        </is>
      </c>
      <c r="U11" t="n">
        <v>211401010</v>
      </c>
    </row>
    <row r="12">
      <c r="A12">
        <f>IF(U12&lt;&gt;"","Pago",IF(T12&lt;&gt;"","Enviado para pagamento",IF(N12&lt;&gt;"","Pedido Recepcionado",IF(M12&lt;&gt;"","Pedido Concluído",IF(L12&lt;&gt;"","RC Criada","Lançar Pgto")))))</f>
        <v/>
      </c>
      <c r="B12" t="inlineStr">
        <is>
          <t>RDB - TRIB</t>
        </is>
      </c>
      <c r="C12" t="inlineStr">
        <is>
          <t>Tributário</t>
        </is>
      </c>
      <c r="D12" t="inlineStr">
        <is>
          <t>ADIANTAMENTO</t>
        </is>
      </c>
      <c r="E12" t="n">
        <v>1011</v>
      </c>
      <c r="F12" t="inlineStr">
        <is>
          <t>Honorários</t>
        </is>
      </c>
      <c r="G12" t="n">
        <v>17000</v>
      </c>
      <c r="H12" t="inlineStr">
        <is>
          <t>Janeiro</t>
        </is>
      </c>
      <c r="I12" t="inlineStr">
        <is>
          <t>06.02.2024</t>
        </is>
      </c>
      <c r="J12" t="inlineStr">
        <is>
          <t>Fixo</t>
        </is>
      </c>
      <c r="K12" t="inlineStr">
        <is>
          <t>Honorários Tributário janeiro</t>
        </is>
      </c>
      <c r="L12" t="n">
        <v>25001011</v>
      </c>
      <c r="M12" t="n">
        <v>4500001011</v>
      </c>
      <c r="N12" t="n">
        <v>180001011</v>
      </c>
      <c r="O12" t="n">
        <v>10</v>
      </c>
      <c r="P12" t="inlineStr">
        <is>
          <t xml:space="preserve">1301011 </t>
        </is>
      </c>
      <c r="Q12" t="inlineStr">
        <is>
          <t>HONORÁRIOS E DESPESAS</t>
        </is>
      </c>
      <c r="R12" t="inlineStr">
        <is>
          <t xml:space="preserve"> GI52000</t>
        </is>
      </c>
      <c r="S12" t="n">
        <v>622600</v>
      </c>
      <c r="T12" t="inlineStr">
        <is>
          <t>24.01.2024</t>
        </is>
      </c>
      <c r="U12" t="n">
        <v>211401011</v>
      </c>
    </row>
    <row r="13">
      <c r="A13">
        <f>IF(U13&lt;&gt;"","Pago",IF(T13&lt;&gt;"","Enviado para pagamento",IF(N13&lt;&gt;"","Pedido Recepcionado",IF(M13&lt;&gt;"","Pedido Concluído",IF(L13&lt;&gt;"","RC Criada","Lançar Pgto")))))</f>
        <v/>
      </c>
      <c r="B13" t="inlineStr">
        <is>
          <t>RDB - TRIB</t>
        </is>
      </c>
      <c r="C13" t="inlineStr">
        <is>
          <t>Tributário</t>
        </is>
      </c>
      <c r="D13" t="inlineStr">
        <is>
          <t>Interno</t>
        </is>
      </c>
      <c r="E13" t="n">
        <v>1012</v>
      </c>
      <c r="F13" t="inlineStr">
        <is>
          <t>Custas</t>
        </is>
      </c>
      <c r="G13" t="n">
        <v>2951.31</v>
      </c>
      <c r="H13" t="inlineStr">
        <is>
          <t>Janeiro</t>
        </is>
      </c>
      <c r="I13" t="inlineStr">
        <is>
          <t>17.02.2024</t>
        </is>
      </c>
      <c r="J13" t="inlineStr">
        <is>
          <t>Variável pontual</t>
        </is>
      </c>
      <c r="K13" t="inlineStr">
        <is>
          <t>Custas Tributário janeiro</t>
        </is>
      </c>
      <c r="L13" t="n">
        <v>25001012</v>
      </c>
      <c r="M13" t="n">
        <v>4500001012</v>
      </c>
      <c r="N13" t="n">
        <v>180001012</v>
      </c>
      <c r="O13" t="n">
        <v>10</v>
      </c>
      <c r="P13" t="inlineStr">
        <is>
          <t xml:space="preserve">1301012 </t>
        </is>
      </c>
      <c r="Q13" t="inlineStr">
        <is>
          <t>CORPORATE</t>
        </is>
      </c>
      <c r="R13" t="inlineStr">
        <is>
          <t xml:space="preserve"> GI52000</t>
        </is>
      </c>
      <c r="S13" t="n">
        <v>622600</v>
      </c>
      <c r="T13" t="inlineStr">
        <is>
          <t>03.01.2024</t>
        </is>
      </c>
      <c r="U13" t="n">
        <v>211401012</v>
      </c>
    </row>
    <row r="14">
      <c r="A14">
        <f>IF(U14&lt;&gt;"","Pago",IF(T14&lt;&gt;"","Enviado para pagamento",IF(N14&lt;&gt;"","Pedido Recepcionado",IF(M14&lt;&gt;"","Pedido Concluído",IF(L14&lt;&gt;"","RC Criada","Lançar Pgto")))))</f>
        <v/>
      </c>
      <c r="B14" t="inlineStr">
        <is>
          <t>RDB - DIV</t>
        </is>
      </c>
      <c r="C14" t="inlineStr">
        <is>
          <t xml:space="preserve">LGPD </t>
        </is>
      </c>
      <c r="D14" t="inlineStr">
        <is>
          <t>ADIANTAMENTO</t>
        </is>
      </c>
      <c r="E14" t="n">
        <v>1013</v>
      </c>
      <c r="F14" t="inlineStr">
        <is>
          <t>Honorários</t>
        </is>
      </c>
      <c r="G14" t="n">
        <v>12000</v>
      </c>
      <c r="H14" t="inlineStr">
        <is>
          <t>Janeiro</t>
        </is>
      </c>
      <c r="I14" t="inlineStr">
        <is>
          <t>25.02.2024</t>
        </is>
      </c>
      <c r="J14" t="inlineStr">
        <is>
          <t>Fixo</t>
        </is>
      </c>
      <c r="K14" t="inlineStr">
        <is>
          <t>Honorários LGPD janeiro</t>
        </is>
      </c>
      <c r="L14" t="n">
        <v>25001013</v>
      </c>
      <c r="M14" t="n">
        <v>4500001013</v>
      </c>
      <c r="N14" t="n">
        <v>180001013</v>
      </c>
      <c r="O14" t="n">
        <v>10</v>
      </c>
      <c r="P14" t="inlineStr">
        <is>
          <t xml:space="preserve">1301013 </t>
        </is>
      </c>
      <c r="Q14" t="inlineStr">
        <is>
          <t>LGPD GERAL &amp; TERCEIROS</t>
        </is>
      </c>
      <c r="R14" t="inlineStr">
        <is>
          <t xml:space="preserve"> GI52000</t>
        </is>
      </c>
      <c r="S14" t="n">
        <v>622600</v>
      </c>
      <c r="T14" t="inlineStr">
        <is>
          <t>20.01.2024</t>
        </is>
      </c>
      <c r="U14" t="n">
        <v>211401013</v>
      </c>
    </row>
    <row r="15">
      <c r="A15">
        <f>IF(U15&lt;&gt;"","Pago",IF(T15&lt;&gt;"","Enviado para pagamento",IF(N15&lt;&gt;"","Pedido Recepcionado",IF(M15&lt;&gt;"","Pedido Concluído",IF(L15&lt;&gt;"","RC Criada","Lançar Pgto")))))</f>
        <v/>
      </c>
      <c r="B15" t="inlineStr">
        <is>
          <t>RDB - DIV</t>
        </is>
      </c>
      <c r="C15" t="inlineStr">
        <is>
          <t xml:space="preserve">LGPD </t>
        </is>
      </c>
      <c r="D15" t="inlineStr">
        <is>
          <t>ADIANTAMENTO</t>
        </is>
      </c>
      <c r="E15" t="n">
        <v>1014</v>
      </c>
      <c r="F15" t="inlineStr">
        <is>
          <t xml:space="preserve">LGPD </t>
        </is>
      </c>
      <c r="G15" t="n">
        <v>2885.45</v>
      </c>
      <c r="H15" t="inlineStr">
        <is>
          <t>Janeiro</t>
        </is>
      </c>
      <c r="I15" t="inlineStr">
        <is>
          <t>23.02.2024</t>
        </is>
      </c>
      <c r="J15" t="inlineStr">
        <is>
          <t>Variável pontual</t>
        </is>
      </c>
      <c r="K15" t="inlineStr">
        <is>
          <t>LGPD LGPD janeiro</t>
        </is>
      </c>
      <c r="L15" t="n">
        <v>25001014</v>
      </c>
      <c r="M15" t="n">
        <v>4500001014</v>
      </c>
      <c r="N15" t="n">
        <v>180001014</v>
      </c>
      <c r="O15" t="n">
        <v>10</v>
      </c>
      <c r="P15" t="inlineStr">
        <is>
          <t xml:space="preserve">1301014 </t>
        </is>
      </c>
      <c r="Q15" t="inlineStr">
        <is>
          <t>LGPD GERAL &amp; TERCEIROS</t>
        </is>
      </c>
      <c r="R15" t="inlineStr">
        <is>
          <t xml:space="preserve"> GI52000</t>
        </is>
      </c>
      <c r="S15" t="n">
        <v>622600</v>
      </c>
      <c r="T15" t="inlineStr">
        <is>
          <t>07.01.2024</t>
        </is>
      </c>
      <c r="U15" t="n">
        <v>211401014</v>
      </c>
    </row>
    <row r="16">
      <c r="A16">
        <f>IF(U16&lt;&gt;"","Pago",IF(T16&lt;&gt;"","Enviado para pagamento",IF(N16&lt;&gt;"","Pedido Recepcionado",IF(M16&lt;&gt;"","Pedido Concluído",IF(L16&lt;&gt;"","RC Criada","Lançar Pgto")))))</f>
        <v/>
      </c>
      <c r="B16" t="inlineStr">
        <is>
          <t>RDB - DIV</t>
        </is>
      </c>
      <c r="C16" t="inlineStr">
        <is>
          <t>Cartório</t>
        </is>
      </c>
      <c r="D16" t="inlineStr">
        <is>
          <t>Interno</t>
        </is>
      </c>
      <c r="E16" t="n">
        <v>1015</v>
      </c>
      <c r="F16" t="inlineStr">
        <is>
          <t>Despesas</t>
        </is>
      </c>
      <c r="G16" t="n">
        <v>1622.74</v>
      </c>
      <c r="H16" t="inlineStr">
        <is>
          <t>Janeiro</t>
        </is>
      </c>
      <c r="I16" t="inlineStr">
        <is>
          <t>26.02.2024</t>
        </is>
      </c>
      <c r="J16" t="inlineStr">
        <is>
          <t xml:space="preserve">Fixo valor variável </t>
        </is>
      </c>
      <c r="K16" t="inlineStr">
        <is>
          <t>Despesas Cartório janeiro</t>
        </is>
      </c>
      <c r="L16" t="n">
        <v>25001015</v>
      </c>
      <c r="M16" t="n">
        <v>4500001015</v>
      </c>
      <c r="N16" t="n">
        <v>180001015</v>
      </c>
      <c r="O16" t="n">
        <v>10</v>
      </c>
      <c r="P16" t="inlineStr">
        <is>
          <t xml:space="preserve">1301015 </t>
        </is>
      </c>
      <c r="Q16" t="inlineStr">
        <is>
          <t>CARTÓRIO</t>
        </is>
      </c>
      <c r="R16" t="inlineStr">
        <is>
          <t xml:space="preserve"> GI52000</t>
        </is>
      </c>
      <c r="S16" t="n">
        <v>622600</v>
      </c>
      <c r="T16" t="inlineStr">
        <is>
          <t>08.01.2024</t>
        </is>
      </c>
      <c r="U16" t="n">
        <v>211401015</v>
      </c>
    </row>
    <row r="17">
      <c r="A17">
        <f>IF(U17&lt;&gt;"","Pago",IF(T17&lt;&gt;"","Enviado para pagamento",IF(N17&lt;&gt;"","Pedido Recepcionado",IF(M17&lt;&gt;"","Pedido Concluído",IF(L17&lt;&gt;"","RC Criada","Lançar Pgto")))))</f>
        <v/>
      </c>
      <c r="B17" t="inlineStr">
        <is>
          <t>RDB - DIV</t>
        </is>
      </c>
      <c r="C17" t="inlineStr">
        <is>
          <t>Projuris SUPRAMONTE</t>
        </is>
      </c>
      <c r="D17" t="inlineStr">
        <is>
          <t>ADIANTAMENTO</t>
        </is>
      </c>
      <c r="E17" t="n">
        <v>1016</v>
      </c>
      <c r="F17" t="inlineStr">
        <is>
          <t>Projuris</t>
        </is>
      </c>
      <c r="G17" t="n">
        <v>2068.72</v>
      </c>
      <c r="H17" t="inlineStr">
        <is>
          <t>Janeiro</t>
        </is>
      </c>
      <c r="I17" t="inlineStr">
        <is>
          <t>07.02.2024</t>
        </is>
      </c>
      <c r="J17" t="inlineStr">
        <is>
          <t>Fixo</t>
        </is>
      </c>
      <c r="K17" t="inlineStr">
        <is>
          <t>Projuris Projuris SUPRAMONTE janeiro</t>
        </is>
      </c>
      <c r="L17" t="n">
        <v>25001016</v>
      </c>
      <c r="M17" t="n">
        <v>4500001016</v>
      </c>
      <c r="N17" t="n">
        <v>180001016</v>
      </c>
      <c r="O17" t="n">
        <v>10</v>
      </c>
      <c r="P17" t="inlineStr">
        <is>
          <t xml:space="preserve">1301016 </t>
        </is>
      </c>
      <c r="Q17" t="inlineStr">
        <is>
          <t>SISTEMAS</t>
        </is>
      </c>
      <c r="R17" t="inlineStr">
        <is>
          <t xml:space="preserve"> GI52000</t>
        </is>
      </c>
      <c r="S17" t="n">
        <v>622600</v>
      </c>
      <c r="T17" t="inlineStr">
        <is>
          <t>28.01.2024</t>
        </is>
      </c>
      <c r="U17" t="n">
        <v>211401016</v>
      </c>
    </row>
    <row r="18">
      <c r="A18">
        <f>IF(U18&lt;&gt;"","Pago",IF(T18&lt;&gt;"","Enviado para pagamento",IF(N18&lt;&gt;"","Pedido Recepcionado",IF(M18&lt;&gt;"","Pedido Concluído",IF(L18&lt;&gt;"","RC Criada","Lançar Pgto")))))</f>
        <v/>
      </c>
      <c r="B18" t="inlineStr">
        <is>
          <t>RDB - DIV</t>
        </is>
      </c>
      <c r="C18" t="inlineStr">
        <is>
          <t>Consumidor</t>
        </is>
      </c>
      <c r="D18" t="inlineStr">
        <is>
          <t>Interno</t>
        </is>
      </c>
      <c r="E18" t="n">
        <v>1017</v>
      </c>
      <c r="F18" t="inlineStr">
        <is>
          <t>Juros e correção</t>
        </is>
      </c>
      <c r="G18" t="n">
        <v>625.1799999999999</v>
      </c>
      <c r="H18" t="inlineStr">
        <is>
          <t>Janeiro</t>
        </is>
      </c>
      <c r="I18" t="inlineStr">
        <is>
          <t>17.02.2024</t>
        </is>
      </c>
      <c r="J18" t="inlineStr">
        <is>
          <t>Variável pontual</t>
        </is>
      </c>
      <c r="K18" t="inlineStr">
        <is>
          <t>Juros e correção Consumidor janeiro</t>
        </is>
      </c>
      <c r="L18" t="n">
        <v>25001017</v>
      </c>
      <c r="M18" t="n">
        <v>4500001017</v>
      </c>
      <c r="N18" t="n">
        <v>180001017</v>
      </c>
      <c r="O18" t="n">
        <v>10</v>
      </c>
      <c r="P18" t="inlineStr">
        <is>
          <t xml:space="preserve">1301017 </t>
        </is>
      </c>
      <c r="Q18" t="inlineStr">
        <is>
          <t>OUTRA ÁREA</t>
        </is>
      </c>
      <c r="R18" t="inlineStr">
        <is>
          <t xml:space="preserve"> GI52000</t>
        </is>
      </c>
      <c r="S18" t="n">
        <v>622600</v>
      </c>
      <c r="T18" t="inlineStr">
        <is>
          <t>09.01.2024</t>
        </is>
      </c>
      <c r="U18" t="n">
        <v>211401017</v>
      </c>
    </row>
    <row r="19">
      <c r="A19">
        <f>IF(U19&lt;&gt;"","Pago",IF(T19&lt;&gt;"","Enviado para pagamento",IF(N19&lt;&gt;"","Pedido Recepcionado",IF(M19&lt;&gt;"","Pedido Concluído",IF(L19&lt;&gt;"","RC Criada","Lançar Pgto")))))</f>
        <v/>
      </c>
      <c r="B19" t="inlineStr">
        <is>
          <t>RDB - CONS</t>
        </is>
      </c>
      <c r="C19" t="inlineStr">
        <is>
          <t>Consumidor</t>
        </is>
      </c>
      <c r="D19" t="inlineStr">
        <is>
          <t>ADIANTAMENTO</t>
        </is>
      </c>
      <c r="E19" t="n">
        <v>1018</v>
      </c>
      <c r="F19" t="inlineStr">
        <is>
          <t>Honorários</t>
        </is>
      </c>
      <c r="G19" t="n">
        <v>30000</v>
      </c>
      <c r="H19" t="inlineStr">
        <is>
          <t>Fevereiro</t>
        </is>
      </c>
      <c r="I19" t="inlineStr">
        <is>
          <t>25.03.2024</t>
        </is>
      </c>
      <c r="J19" t="inlineStr">
        <is>
          <t>Fixo</t>
        </is>
      </c>
      <c r="K19" t="inlineStr">
        <is>
          <t>Honorários Consumidor fevereiro</t>
        </is>
      </c>
      <c r="L19" t="n">
        <v>25001018</v>
      </c>
      <c r="M19" t="n">
        <v>4500001018</v>
      </c>
      <c r="N19" t="n">
        <v>180001018</v>
      </c>
      <c r="O19" t="n">
        <v>10</v>
      </c>
      <c r="P19" t="inlineStr">
        <is>
          <t xml:space="preserve">1301018 </t>
        </is>
      </c>
      <c r="Q19" t="inlineStr">
        <is>
          <t>HONORÁRIOS E DESPESAS</t>
        </is>
      </c>
      <c r="R19" t="inlineStr">
        <is>
          <t>GI52015</t>
        </is>
      </c>
      <c r="S19" t="n">
        <v>622600</v>
      </c>
      <c r="T19" t="inlineStr">
        <is>
          <t>27.02.2024</t>
        </is>
      </c>
      <c r="U19" t="n">
        <v>211401018</v>
      </c>
    </row>
    <row r="20">
      <c r="A20">
        <f>IF(U20&lt;&gt;"","Pago",IF(T20&lt;&gt;"","Enviado para pagamento",IF(N20&lt;&gt;"","Pedido Recepcionado",IF(M20&lt;&gt;"","Pedido Concluído",IF(L20&lt;&gt;"","RC Criada","Lançar Pgto")))))</f>
        <v/>
      </c>
      <c r="B20" t="inlineStr">
        <is>
          <t>RDB - CONS</t>
        </is>
      </c>
      <c r="C20" t="inlineStr">
        <is>
          <t>Consumidor</t>
        </is>
      </c>
      <c r="D20" t="inlineStr">
        <is>
          <t>ADIANTAMENTO</t>
        </is>
      </c>
      <c r="E20" t="n">
        <v>1019</v>
      </c>
      <c r="F20" t="inlineStr">
        <is>
          <t>Condenação</t>
        </is>
      </c>
      <c r="G20" t="n">
        <v>42566.98</v>
      </c>
      <c r="H20" t="inlineStr">
        <is>
          <t>Fevereiro</t>
        </is>
      </c>
      <c r="I20" t="inlineStr">
        <is>
          <t>16.03.2024</t>
        </is>
      </c>
      <c r="J20" t="inlineStr">
        <is>
          <t>Variável pontual</t>
        </is>
      </c>
      <c r="K20" t="inlineStr">
        <is>
          <t>Condenação Consumidor fevereiro</t>
        </is>
      </c>
      <c r="L20" t="n">
        <v>25001019</v>
      </c>
      <c r="M20" t="n">
        <v>4500001019</v>
      </c>
      <c r="N20" t="n">
        <v>180001019</v>
      </c>
      <c r="O20" t="n">
        <v>10</v>
      </c>
      <c r="P20" t="inlineStr">
        <is>
          <t xml:space="preserve">1301019 </t>
        </is>
      </c>
      <c r="Q20" t="inlineStr">
        <is>
          <t>CORPORATE</t>
        </is>
      </c>
      <c r="R20" t="inlineStr">
        <is>
          <t>GI52015</t>
        </is>
      </c>
      <c r="S20" t="n">
        <v>622600</v>
      </c>
      <c r="T20" t="inlineStr">
        <is>
          <t>07.02.2024</t>
        </is>
      </c>
      <c r="U20" t="n">
        <v>211401019</v>
      </c>
    </row>
    <row r="21">
      <c r="A21">
        <f>IF(U21&lt;&gt;"","Pago",IF(T21&lt;&gt;"","Enviado para pagamento",IF(N21&lt;&gt;"","Pedido Recepcionado",IF(M21&lt;&gt;"","Pedido Concluído",IF(L21&lt;&gt;"","RC Criada","Lançar Pgto")))))</f>
        <v/>
      </c>
      <c r="B21" t="inlineStr">
        <is>
          <t>RDB - CONS</t>
        </is>
      </c>
      <c r="C21" t="inlineStr">
        <is>
          <t>Consumidor</t>
        </is>
      </c>
      <c r="D21" t="inlineStr">
        <is>
          <t>Interno</t>
        </is>
      </c>
      <c r="E21" t="n">
        <v>1020</v>
      </c>
      <c r="F21" t="inlineStr">
        <is>
          <t>Acordo</t>
        </is>
      </c>
      <c r="G21" t="n">
        <v>12816.84</v>
      </c>
      <c r="H21" t="inlineStr">
        <is>
          <t>Fevereiro</t>
        </is>
      </c>
      <c r="I21" t="inlineStr">
        <is>
          <t>24.03.2024</t>
        </is>
      </c>
      <c r="J21" t="inlineStr">
        <is>
          <t>Variável pontual</t>
        </is>
      </c>
      <c r="K21" t="inlineStr">
        <is>
          <t>Acordo Consumidor fevereiro</t>
        </is>
      </c>
      <c r="L21" t="n">
        <v>25001020</v>
      </c>
      <c r="M21" t="n">
        <v>4500001020</v>
      </c>
      <c r="N21" t="n">
        <v>180001020</v>
      </c>
      <c r="O21" t="n">
        <v>10</v>
      </c>
      <c r="P21" t="inlineStr">
        <is>
          <t xml:space="preserve">1301020 </t>
        </is>
      </c>
      <c r="Q21" t="inlineStr">
        <is>
          <t>ACORDOS CONSUMIDOR</t>
        </is>
      </c>
      <c r="R21" t="inlineStr">
        <is>
          <t>GI52015</t>
        </is>
      </c>
      <c r="S21" t="n">
        <v>622600</v>
      </c>
      <c r="T21" t="inlineStr">
        <is>
          <t>21.02.2024</t>
        </is>
      </c>
      <c r="U21" t="n">
        <v>211401020</v>
      </c>
    </row>
    <row r="22">
      <c r="A22">
        <f>IF(U22&lt;&gt;"","Pago",IF(T22&lt;&gt;"","Enviado para pagamento",IF(N22&lt;&gt;"","Pedido Recepcionado",IF(M22&lt;&gt;"","Pedido Concluído",IF(L22&lt;&gt;"","RC Criada","Lançar Pgto")))))</f>
        <v/>
      </c>
      <c r="B22" t="inlineStr">
        <is>
          <t>RDB - CONS</t>
        </is>
      </c>
      <c r="C22" t="inlineStr">
        <is>
          <t>Acordo Projeto SAC</t>
        </is>
      </c>
      <c r="D22" t="inlineStr">
        <is>
          <t>Interno</t>
        </is>
      </c>
      <c r="E22" t="n">
        <v>1021</v>
      </c>
      <c r="F22" t="inlineStr">
        <is>
          <t>Acordo</t>
        </is>
      </c>
      <c r="G22" t="n">
        <v>6947.64</v>
      </c>
      <c r="H22" t="inlineStr">
        <is>
          <t>Fevereiro</t>
        </is>
      </c>
      <c r="I22" t="inlineStr">
        <is>
          <t>10.03.2024</t>
        </is>
      </c>
      <c r="J22" t="inlineStr">
        <is>
          <t>Variável pontual</t>
        </is>
      </c>
      <c r="K22" t="inlineStr">
        <is>
          <t>Acordo Acordo Projeto SAC fevereiro</t>
        </is>
      </c>
      <c r="L22" t="n">
        <v>25001021</v>
      </c>
      <c r="M22" t="n">
        <v>4500001021</v>
      </c>
      <c r="N22" t="n">
        <v>180001021</v>
      </c>
      <c r="O22" t="n">
        <v>10</v>
      </c>
      <c r="P22" t="inlineStr">
        <is>
          <t xml:space="preserve">1301021 </t>
        </is>
      </c>
      <c r="Q22" t="inlineStr">
        <is>
          <t>ACORDOS SAC</t>
        </is>
      </c>
      <c r="R22" t="inlineStr">
        <is>
          <t>GI52015</t>
        </is>
      </c>
      <c r="S22" t="n">
        <v>622600</v>
      </c>
      <c r="T22" t="inlineStr">
        <is>
          <t>15.02.2024</t>
        </is>
      </c>
      <c r="U22" t="n">
        <v>211401021</v>
      </c>
    </row>
    <row r="23">
      <c r="A23">
        <f>IF(U23&lt;&gt;"","Pago",IF(T23&lt;&gt;"","Enviado para pagamento",IF(N23&lt;&gt;"","Pedido Recepcionado",IF(M23&lt;&gt;"","Pedido Concluído",IF(L23&lt;&gt;"","RC Criada","Lançar Pgto")))))</f>
        <v/>
      </c>
      <c r="B23" t="inlineStr">
        <is>
          <t>RDB - DIV</t>
        </is>
      </c>
      <c r="C23" t="inlineStr">
        <is>
          <t>Cível</t>
        </is>
      </c>
      <c r="D23" t="inlineStr">
        <is>
          <t>ADIANTAMENTO</t>
        </is>
      </c>
      <c r="E23" t="n">
        <v>1022</v>
      </c>
      <c r="F23" t="inlineStr">
        <is>
          <t>Honorários</t>
        </is>
      </c>
      <c r="G23" t="n">
        <v>6400</v>
      </c>
      <c r="H23" t="inlineStr">
        <is>
          <t>Fevereiro</t>
        </is>
      </c>
      <c r="I23" t="inlineStr">
        <is>
          <t>13.03.2024</t>
        </is>
      </c>
      <c r="J23" t="inlineStr">
        <is>
          <t>Fixo</t>
        </is>
      </c>
      <c r="K23" t="inlineStr">
        <is>
          <t>Honorários Cível fevereiro</t>
        </is>
      </c>
      <c r="L23" t="n">
        <v>25001022</v>
      </c>
      <c r="M23" t="n">
        <v>4500001022</v>
      </c>
      <c r="N23" t="n">
        <v>180001022</v>
      </c>
      <c r="O23" t="n">
        <v>10</v>
      </c>
      <c r="P23" t="inlineStr">
        <is>
          <t xml:space="preserve">1301022 </t>
        </is>
      </c>
      <c r="Q23" t="inlineStr">
        <is>
          <t>HONORÁRIOS E DESPESAS</t>
        </is>
      </c>
      <c r="R23" t="inlineStr">
        <is>
          <t>GI52015</t>
        </is>
      </c>
      <c r="S23" t="n">
        <v>622600</v>
      </c>
      <c r="T23" t="inlineStr">
        <is>
          <t>21.02.2024</t>
        </is>
      </c>
      <c r="U23" t="n">
        <v>211401022</v>
      </c>
    </row>
    <row r="24">
      <c r="A24">
        <f>IF(U24&lt;&gt;"","Pago",IF(T24&lt;&gt;"","Enviado para pagamento",IF(N24&lt;&gt;"","Pedido Recepcionado",IF(M24&lt;&gt;"","Pedido Concluído",IF(L24&lt;&gt;"","RC Criada","Lançar Pgto")))))</f>
        <v/>
      </c>
      <c r="B24" t="inlineStr">
        <is>
          <t>RDB - DIV</t>
        </is>
      </c>
      <c r="C24" t="inlineStr">
        <is>
          <t>Cível</t>
        </is>
      </c>
      <c r="D24" t="inlineStr">
        <is>
          <t>Interno</t>
        </is>
      </c>
      <c r="E24" t="n">
        <v>1023</v>
      </c>
      <c r="F24" t="inlineStr">
        <is>
          <t>Custas</t>
        </is>
      </c>
      <c r="G24" t="n">
        <v>967.74</v>
      </c>
      <c r="H24" t="inlineStr">
        <is>
          <t>Fevereiro</t>
        </is>
      </c>
      <c r="I24" t="inlineStr">
        <is>
          <t>26.03.2024</t>
        </is>
      </c>
      <c r="J24" t="inlineStr">
        <is>
          <t>Variável pontual</t>
        </is>
      </c>
      <c r="K24" t="inlineStr">
        <is>
          <t>Custas Cível fevereiro</t>
        </is>
      </c>
      <c r="L24" t="n">
        <v>25001023</v>
      </c>
      <c r="M24" t="n">
        <v>4500001023</v>
      </c>
      <c r="N24" t="n">
        <v>180001023</v>
      </c>
      <c r="O24" t="n">
        <v>10</v>
      </c>
      <c r="P24" t="inlineStr">
        <is>
          <t xml:space="preserve">1301023 </t>
        </is>
      </c>
      <c r="Q24" t="inlineStr">
        <is>
          <t>HONORÁRIOS E DESPESAS</t>
        </is>
      </c>
      <c r="R24" t="inlineStr">
        <is>
          <t>GI52015</t>
        </is>
      </c>
      <c r="S24" t="n">
        <v>622600</v>
      </c>
      <c r="T24" t="inlineStr">
        <is>
          <t>11.02.2024</t>
        </is>
      </c>
      <c r="U24" t="n">
        <v>211401023</v>
      </c>
    </row>
    <row r="25">
      <c r="A25">
        <f>IF(U25&lt;&gt;"","Pago",IF(T25&lt;&gt;"","Enviado para pagamento",IF(N25&lt;&gt;"","Pedido Recepcionado",IF(M25&lt;&gt;"","Pedido Concluído",IF(L25&lt;&gt;"","RC Criada","Lançar Pgto")))))</f>
        <v/>
      </c>
      <c r="B25" t="inlineStr">
        <is>
          <t>RDB - TRAB CVP</t>
        </is>
      </c>
      <c r="C25" t="inlineStr">
        <is>
          <t>Trabalhista</t>
        </is>
      </c>
      <c r="D25" t="inlineStr">
        <is>
          <t>Interno</t>
        </is>
      </c>
      <c r="E25" t="n">
        <v>1024</v>
      </c>
      <c r="F25" t="inlineStr">
        <is>
          <t>Condenação</t>
        </is>
      </c>
      <c r="G25" t="n">
        <v>28428.52</v>
      </c>
      <c r="H25" t="inlineStr">
        <is>
          <t>Fevereiro</t>
        </is>
      </c>
      <c r="I25" t="inlineStr">
        <is>
          <t>12.03.2024</t>
        </is>
      </c>
      <c r="J25" t="inlineStr">
        <is>
          <t>Variável pontual</t>
        </is>
      </c>
      <c r="K25" t="inlineStr">
        <is>
          <t>Condenação Trabalhista fevereiro</t>
        </is>
      </c>
      <c r="L25" t="n">
        <v>25001024</v>
      </c>
      <c r="M25" t="n">
        <v>4500001024</v>
      </c>
      <c r="N25" t="n">
        <v>180001024</v>
      </c>
      <c r="O25" t="n">
        <v>10</v>
      </c>
      <c r="P25" t="inlineStr">
        <is>
          <t xml:space="preserve">1301024 </t>
        </is>
      </c>
      <c r="Q25" t="inlineStr">
        <is>
          <t>TRABALHISTA GERAL</t>
        </is>
      </c>
      <c r="R25" t="inlineStr">
        <is>
          <t>GI52015</t>
        </is>
      </c>
      <c r="S25" t="n">
        <v>622600</v>
      </c>
      <c r="T25" t="inlineStr">
        <is>
          <t>27.02.2024</t>
        </is>
      </c>
      <c r="U25" t="n">
        <v>211401024</v>
      </c>
    </row>
    <row r="26">
      <c r="A26">
        <f>IF(U26&lt;&gt;"","Pago",IF(T26&lt;&gt;"","Enviado para pagamento",IF(N26&lt;&gt;"","Pedido Recepcionado",IF(M26&lt;&gt;"","Pedido Concluído",IF(L26&lt;&gt;"","RC Criada","Lançar Pgto")))))</f>
        <v/>
      </c>
      <c r="B26" t="inlineStr">
        <is>
          <t>RDB - TRAB CVP</t>
        </is>
      </c>
      <c r="C26" t="inlineStr">
        <is>
          <t>Trabalhista</t>
        </is>
      </c>
      <c r="D26" t="inlineStr">
        <is>
          <t>ADIANTAMENTO</t>
        </is>
      </c>
      <c r="E26" t="n">
        <v>1025</v>
      </c>
      <c r="F26" t="inlineStr">
        <is>
          <t>acordo</t>
        </is>
      </c>
      <c r="G26" t="n">
        <v>12192.6</v>
      </c>
      <c r="H26" t="inlineStr">
        <is>
          <t>Fevereiro</t>
        </is>
      </c>
      <c r="I26" t="inlineStr">
        <is>
          <t>17.03.2024</t>
        </is>
      </c>
      <c r="J26" t="inlineStr">
        <is>
          <t>variável pontual</t>
        </is>
      </c>
      <c r="K26" t="inlineStr">
        <is>
          <t>acordo Trabalhista fevereiro</t>
        </is>
      </c>
      <c r="L26" t="n">
        <v>25001025</v>
      </c>
      <c r="M26" t="n">
        <v>4500001025</v>
      </c>
      <c r="N26" t="n">
        <v>180001025</v>
      </c>
      <c r="O26" t="n">
        <v>10</v>
      </c>
      <c r="P26" t="inlineStr">
        <is>
          <t xml:space="preserve">1301025 </t>
        </is>
      </c>
      <c r="Q26" t="inlineStr">
        <is>
          <t>TRABALHISTA GERAL</t>
        </is>
      </c>
      <c r="R26" t="inlineStr">
        <is>
          <t>GI52015</t>
        </is>
      </c>
      <c r="S26" t="n">
        <v>622600</v>
      </c>
      <c r="T26" t="inlineStr">
        <is>
          <t>09.02.2024</t>
        </is>
      </c>
      <c r="U26" t="n">
        <v>211401025</v>
      </c>
    </row>
    <row r="27">
      <c r="A27">
        <f>IF(U27&lt;&gt;"","Pago",IF(T27&lt;&gt;"","Enviado para pagamento",IF(N27&lt;&gt;"","Pedido Recepcionado",IF(M27&lt;&gt;"","Pedido Concluído",IF(L27&lt;&gt;"","RC Criada","Lançar Pgto")))))</f>
        <v/>
      </c>
      <c r="B27" t="inlineStr">
        <is>
          <t>RDB - TRAB SUPORTE</t>
        </is>
      </c>
      <c r="C27" t="inlineStr">
        <is>
          <t>Trabalhista</t>
        </is>
      </c>
      <c r="D27" t="inlineStr">
        <is>
          <t>ADIANTAMENTO</t>
        </is>
      </c>
      <c r="E27" t="n">
        <v>1026</v>
      </c>
      <c r="F27" t="inlineStr">
        <is>
          <t>Acordo</t>
        </is>
      </c>
      <c r="G27" t="n">
        <v>7438.28</v>
      </c>
      <c r="H27" t="inlineStr">
        <is>
          <t>Fevereiro</t>
        </is>
      </c>
      <c r="I27" t="inlineStr">
        <is>
          <t>11.03.2024</t>
        </is>
      </c>
      <c r="J27" t="inlineStr">
        <is>
          <t>Variável pontual</t>
        </is>
      </c>
      <c r="K27" t="inlineStr">
        <is>
          <t>Acordo Trabalhista fevereiro</t>
        </is>
      </c>
      <c r="L27" t="n">
        <v>25001026</v>
      </c>
      <c r="M27" t="n">
        <v>4500001026</v>
      </c>
      <c r="N27" t="n">
        <v>180001026</v>
      </c>
      <c r="O27" t="n">
        <v>10</v>
      </c>
      <c r="P27" t="inlineStr">
        <is>
          <t xml:space="preserve">1301026 </t>
        </is>
      </c>
      <c r="Q27" t="inlineStr">
        <is>
          <t>TRABALHISTA ACORDOS</t>
        </is>
      </c>
      <c r="R27" t="inlineStr">
        <is>
          <t>GI52015</t>
        </is>
      </c>
      <c r="S27" t="n">
        <v>622600</v>
      </c>
      <c r="T27" t="inlineStr">
        <is>
          <t>21.02.2024</t>
        </is>
      </c>
      <c r="U27" t="n">
        <v>211401026</v>
      </c>
    </row>
    <row r="28">
      <c r="A28">
        <f>IF(U28&lt;&gt;"","Pago",IF(T28&lt;&gt;"","Enviado para pagamento",IF(N28&lt;&gt;"","Pedido Recepcionado",IF(M28&lt;&gt;"","Pedido Concluído",IF(L28&lt;&gt;"","RC Criada","Lançar Pgto")))))</f>
        <v/>
      </c>
      <c r="B28" t="inlineStr">
        <is>
          <t>RDB - TRAB PIF</t>
        </is>
      </c>
      <c r="C28" t="inlineStr">
        <is>
          <t>Trabalhista</t>
        </is>
      </c>
      <c r="D28" t="inlineStr">
        <is>
          <t>ADIANTAMENTO</t>
        </is>
      </c>
      <c r="E28" t="n">
        <v>1027</v>
      </c>
      <c r="F28" t="inlineStr">
        <is>
          <t>Acordo</t>
        </is>
      </c>
      <c r="G28" t="n">
        <v>19993.85</v>
      </c>
      <c r="H28" t="inlineStr">
        <is>
          <t>Fevereiro</t>
        </is>
      </c>
      <c r="I28" t="inlineStr">
        <is>
          <t>09.03.2024</t>
        </is>
      </c>
      <c r="J28" t="inlineStr">
        <is>
          <t>Variável pontual</t>
        </is>
      </c>
      <c r="K28" t="inlineStr">
        <is>
          <t>Acordo Trabalhista fevereiro</t>
        </is>
      </c>
      <c r="L28" t="n">
        <v>25001027</v>
      </c>
      <c r="M28" t="n">
        <v>4500001027</v>
      </c>
      <c r="N28" t="n">
        <v>180001027</v>
      </c>
      <c r="O28" t="n">
        <v>10</v>
      </c>
      <c r="P28" t="inlineStr">
        <is>
          <t xml:space="preserve">1301027 </t>
        </is>
      </c>
      <c r="Q28" t="inlineStr">
        <is>
          <t>PIF/PDV</t>
        </is>
      </c>
      <c r="R28" t="inlineStr">
        <is>
          <t>GI52015</t>
        </is>
      </c>
      <c r="S28" t="n">
        <v>622600</v>
      </c>
      <c r="T28" t="inlineStr">
        <is>
          <t>09.02.2024</t>
        </is>
      </c>
      <c r="U28" t="n">
        <v>211401027</v>
      </c>
    </row>
    <row r="29">
      <c r="A29">
        <f>IF(U29&lt;&gt;"","Pago",IF(T29&lt;&gt;"","Enviado para pagamento",IF(N29&lt;&gt;"","Pedido Recepcionado",IF(M29&lt;&gt;"","Pedido Concluído",IF(L29&lt;&gt;"","RC Criada","Lançar Pgto")))))</f>
        <v/>
      </c>
      <c r="B29" t="inlineStr">
        <is>
          <t>RDB - TRIB</t>
        </is>
      </c>
      <c r="C29" t="inlineStr">
        <is>
          <t>Tributário</t>
        </is>
      </c>
      <c r="D29" t="inlineStr">
        <is>
          <t>Interno</t>
        </is>
      </c>
      <c r="E29" t="n">
        <v>1028</v>
      </c>
      <c r="F29" t="inlineStr">
        <is>
          <t>Honorários</t>
        </is>
      </c>
      <c r="G29" t="n">
        <v>17000</v>
      </c>
      <c r="H29" t="inlineStr">
        <is>
          <t>Fevereiro</t>
        </is>
      </c>
      <c r="I29" t="inlineStr">
        <is>
          <t>12.03.2024</t>
        </is>
      </c>
      <c r="J29" t="inlineStr">
        <is>
          <t>Fixo</t>
        </is>
      </c>
      <c r="K29" t="inlineStr">
        <is>
          <t>Honorários Tributário fevereiro</t>
        </is>
      </c>
      <c r="L29" t="n">
        <v>25001028</v>
      </c>
      <c r="M29" t="n">
        <v>4500001028</v>
      </c>
      <c r="N29" t="n">
        <v>180001028</v>
      </c>
      <c r="O29" t="n">
        <v>10</v>
      </c>
      <c r="P29" t="inlineStr">
        <is>
          <t xml:space="preserve">1301028 </t>
        </is>
      </c>
      <c r="Q29" t="inlineStr">
        <is>
          <t>HONORÁRIOS E DESPESAS</t>
        </is>
      </c>
      <c r="R29" t="inlineStr">
        <is>
          <t>GI52015</t>
        </is>
      </c>
      <c r="S29" t="n">
        <v>622600</v>
      </c>
      <c r="T29" t="inlineStr">
        <is>
          <t>24.02.2024</t>
        </is>
      </c>
      <c r="U29" t="n">
        <v>211401028</v>
      </c>
    </row>
    <row r="30">
      <c r="A30">
        <f>IF(U30&lt;&gt;"","Pago",IF(T30&lt;&gt;"","Enviado para pagamento",IF(N30&lt;&gt;"","Pedido Recepcionado",IF(M30&lt;&gt;"","Pedido Concluído",IF(L30&lt;&gt;"","RC Criada","Lançar Pgto")))))</f>
        <v/>
      </c>
      <c r="B30" t="inlineStr">
        <is>
          <t>RDB - TRIB</t>
        </is>
      </c>
      <c r="C30" t="inlineStr">
        <is>
          <t>Tributário</t>
        </is>
      </c>
      <c r="D30" t="inlineStr">
        <is>
          <t>ADIANTAMENTO</t>
        </is>
      </c>
      <c r="E30" t="n">
        <v>1029</v>
      </c>
      <c r="F30" t="inlineStr">
        <is>
          <t>Custas</t>
        </is>
      </c>
      <c r="G30" t="n">
        <v>3073.64</v>
      </c>
      <c r="H30" t="inlineStr">
        <is>
          <t>Fevereiro</t>
        </is>
      </c>
      <c r="I30" t="inlineStr">
        <is>
          <t>28.03.2024</t>
        </is>
      </c>
      <c r="J30" t="inlineStr">
        <is>
          <t>Variável pontual</t>
        </is>
      </c>
      <c r="K30" t="inlineStr">
        <is>
          <t>Custas Tributário fevereiro</t>
        </is>
      </c>
      <c r="L30" t="n">
        <v>25001029</v>
      </c>
      <c r="M30" t="n">
        <v>4500001029</v>
      </c>
      <c r="N30" t="n">
        <v>180001029</v>
      </c>
      <c r="O30" t="n">
        <v>10</v>
      </c>
      <c r="P30" t="inlineStr">
        <is>
          <t xml:space="preserve">1301029 </t>
        </is>
      </c>
      <c r="Q30" t="inlineStr">
        <is>
          <t>CORPORATE</t>
        </is>
      </c>
      <c r="R30" t="inlineStr">
        <is>
          <t>GI52015</t>
        </is>
      </c>
      <c r="S30" t="n">
        <v>622600</v>
      </c>
      <c r="T30" t="inlineStr">
        <is>
          <t>19.02.2024</t>
        </is>
      </c>
      <c r="U30" t="n">
        <v>211401029</v>
      </c>
    </row>
    <row r="31">
      <c r="A31">
        <f>IF(U31&lt;&gt;"","Pago",IF(T31&lt;&gt;"","Enviado para pagamento",IF(N31&lt;&gt;"","Pedido Recepcionado",IF(M31&lt;&gt;"","Pedido Concluído",IF(L31&lt;&gt;"","RC Criada","Lançar Pgto")))))</f>
        <v/>
      </c>
      <c r="B31" t="inlineStr">
        <is>
          <t>RDB - DIV</t>
        </is>
      </c>
      <c r="C31" t="inlineStr">
        <is>
          <t xml:space="preserve">LGPD </t>
        </is>
      </c>
      <c r="D31" t="inlineStr">
        <is>
          <t>ADIANTAMENTO</t>
        </is>
      </c>
      <c r="E31" t="n">
        <v>1030</v>
      </c>
      <c r="F31" t="inlineStr">
        <is>
          <t>Honorários</t>
        </is>
      </c>
      <c r="G31" t="n">
        <v>12000</v>
      </c>
      <c r="H31" t="inlineStr">
        <is>
          <t>Fevereiro</t>
        </is>
      </c>
      <c r="I31" t="inlineStr">
        <is>
          <t>23.03.2024</t>
        </is>
      </c>
      <c r="J31" t="inlineStr">
        <is>
          <t>Fixo</t>
        </is>
      </c>
      <c r="K31" t="inlineStr">
        <is>
          <t>Honorários LGPD fevereiro</t>
        </is>
      </c>
      <c r="L31" t="n">
        <v>25001030</v>
      </c>
      <c r="M31" t="n">
        <v>4500001030</v>
      </c>
      <c r="N31" t="n">
        <v>180001030</v>
      </c>
      <c r="O31" t="n">
        <v>10</v>
      </c>
      <c r="P31" t="inlineStr">
        <is>
          <t xml:space="preserve">1301030 </t>
        </is>
      </c>
      <c r="Q31" t="inlineStr">
        <is>
          <t>LGPD GERAL &amp; TERCEIROS</t>
        </is>
      </c>
      <c r="R31" t="inlineStr">
        <is>
          <t>GI52015</t>
        </is>
      </c>
      <c r="S31" t="n">
        <v>622600</v>
      </c>
      <c r="T31" t="inlineStr">
        <is>
          <t>13.02.2024</t>
        </is>
      </c>
      <c r="U31" t="n">
        <v>211401030</v>
      </c>
    </row>
    <row r="32">
      <c r="A32">
        <f>IF(U32&lt;&gt;"","Pago",IF(T32&lt;&gt;"","Enviado para pagamento",IF(N32&lt;&gt;"","Pedido Recepcionado",IF(M32&lt;&gt;"","Pedido Concluído",IF(L32&lt;&gt;"","RC Criada","Lançar Pgto")))))</f>
        <v/>
      </c>
      <c r="B32" t="inlineStr">
        <is>
          <t>RDB - DIV</t>
        </is>
      </c>
      <c r="C32" t="inlineStr">
        <is>
          <t xml:space="preserve">LGPD </t>
        </is>
      </c>
      <c r="D32" t="inlineStr">
        <is>
          <t>Interno</t>
        </is>
      </c>
      <c r="E32" t="n">
        <v>1031</v>
      </c>
      <c r="F32" t="inlineStr">
        <is>
          <t xml:space="preserve">LGPD </t>
        </is>
      </c>
      <c r="G32" t="n">
        <v>2362</v>
      </c>
      <c r="H32" t="inlineStr">
        <is>
          <t>Fevereiro</t>
        </is>
      </c>
      <c r="I32" t="inlineStr">
        <is>
          <t>21.03.2024</t>
        </is>
      </c>
      <c r="J32" t="inlineStr">
        <is>
          <t>Variável pontual</t>
        </is>
      </c>
      <c r="K32" t="inlineStr">
        <is>
          <t>LGPD LGPD fevereiro</t>
        </is>
      </c>
      <c r="L32" t="n">
        <v>25001031</v>
      </c>
      <c r="M32" t="n">
        <v>4500001031</v>
      </c>
      <c r="N32" t="n">
        <v>180001031</v>
      </c>
      <c r="O32" t="n">
        <v>10</v>
      </c>
      <c r="P32" t="inlineStr">
        <is>
          <t xml:space="preserve">1301031 </t>
        </is>
      </c>
      <c r="Q32" t="inlineStr">
        <is>
          <t>LGPD GERAL &amp; TERCEIROS</t>
        </is>
      </c>
      <c r="R32" t="inlineStr">
        <is>
          <t>GI52015</t>
        </is>
      </c>
      <c r="S32" t="n">
        <v>622600</v>
      </c>
      <c r="T32" t="inlineStr">
        <is>
          <t>16.02.2024</t>
        </is>
      </c>
      <c r="U32" t="n">
        <v>211401031</v>
      </c>
    </row>
    <row r="33">
      <c r="A33">
        <f>IF(U33&lt;&gt;"","Pago",IF(T33&lt;&gt;"","Enviado para pagamento",IF(N33&lt;&gt;"","Pedido Recepcionado",IF(M33&lt;&gt;"","Pedido Concluído",IF(L33&lt;&gt;"","RC Criada","Lançar Pgto")))))</f>
        <v/>
      </c>
      <c r="B33" t="inlineStr">
        <is>
          <t>RDB - DIV</t>
        </is>
      </c>
      <c r="C33" t="inlineStr">
        <is>
          <t>Cartório</t>
        </is>
      </c>
      <c r="D33" t="inlineStr">
        <is>
          <t>Interno</t>
        </is>
      </c>
      <c r="E33" t="n">
        <v>1032</v>
      </c>
      <c r="F33" t="inlineStr">
        <is>
          <t>Despesas</t>
        </is>
      </c>
      <c r="G33" t="n">
        <v>1254.55</v>
      </c>
      <c r="H33" t="inlineStr">
        <is>
          <t>Fevereiro</t>
        </is>
      </c>
      <c r="I33" t="inlineStr">
        <is>
          <t>08.03.2024</t>
        </is>
      </c>
      <c r="J33" t="inlineStr">
        <is>
          <t xml:space="preserve">Fixo valor variável </t>
        </is>
      </c>
      <c r="K33" t="inlineStr">
        <is>
          <t>Despesas Cartório fevereiro</t>
        </is>
      </c>
      <c r="L33" t="n">
        <v>25001032</v>
      </c>
      <c r="M33" t="n">
        <v>4500001032</v>
      </c>
      <c r="N33" t="n">
        <v>180001032</v>
      </c>
      <c r="O33" t="n">
        <v>10</v>
      </c>
      <c r="P33" t="inlineStr">
        <is>
          <t xml:space="preserve">1301032 </t>
        </is>
      </c>
      <c r="Q33" t="inlineStr">
        <is>
          <t>CARTÓRIO</t>
        </is>
      </c>
      <c r="R33" t="inlineStr">
        <is>
          <t>GI52015</t>
        </is>
      </c>
      <c r="S33" t="n">
        <v>622600</v>
      </c>
      <c r="T33" t="inlineStr">
        <is>
          <t>05.02.2024</t>
        </is>
      </c>
      <c r="U33" t="n">
        <v>211401032</v>
      </c>
    </row>
    <row r="34">
      <c r="A34">
        <f>IF(U34&lt;&gt;"","Pago",IF(T34&lt;&gt;"","Enviado para pagamento",IF(N34&lt;&gt;"","Pedido Recepcionado",IF(M34&lt;&gt;"","Pedido Concluído",IF(L34&lt;&gt;"","RC Criada","Lançar Pgto")))))</f>
        <v/>
      </c>
      <c r="B34" t="inlineStr">
        <is>
          <t>RDB - DIV</t>
        </is>
      </c>
      <c r="C34" t="inlineStr">
        <is>
          <t>Projuris SUPRAMONTE</t>
        </is>
      </c>
      <c r="D34" t="inlineStr">
        <is>
          <t>Interno</t>
        </is>
      </c>
      <c r="E34" t="n">
        <v>1033</v>
      </c>
      <c r="F34" t="inlineStr">
        <is>
          <t>Projuris</t>
        </is>
      </c>
      <c r="G34" t="n">
        <v>2068.72</v>
      </c>
      <c r="H34" t="inlineStr">
        <is>
          <t>Fevereiro</t>
        </is>
      </c>
      <c r="I34" t="inlineStr">
        <is>
          <t>26.03.2024</t>
        </is>
      </c>
      <c r="J34" t="inlineStr">
        <is>
          <t>Fixo</t>
        </is>
      </c>
      <c r="K34" t="inlineStr">
        <is>
          <t>Projuris Projuris SUPRAMONTE fevereiro</t>
        </is>
      </c>
      <c r="L34" t="n">
        <v>25001033</v>
      </c>
      <c r="M34" t="n">
        <v>4500001033</v>
      </c>
      <c r="N34" t="n">
        <v>180001033</v>
      </c>
      <c r="O34" t="n">
        <v>10</v>
      </c>
      <c r="P34" t="inlineStr">
        <is>
          <t xml:space="preserve">1301033 </t>
        </is>
      </c>
      <c r="Q34" t="inlineStr">
        <is>
          <t>SISTEMAS</t>
        </is>
      </c>
      <c r="R34" t="inlineStr">
        <is>
          <t>GI52015</t>
        </is>
      </c>
      <c r="S34" t="n">
        <v>622600</v>
      </c>
      <c r="T34" t="inlineStr">
        <is>
          <t>14.02.2024</t>
        </is>
      </c>
      <c r="U34" t="n">
        <v>211401033</v>
      </c>
    </row>
    <row r="35">
      <c r="A35">
        <f>IF(U35&lt;&gt;"","Pago",IF(T35&lt;&gt;"","Enviado para pagamento",IF(N35&lt;&gt;"","Pedido Recepcionado",IF(M35&lt;&gt;"","Pedido Concluído",IF(L35&lt;&gt;"","RC Criada","Lançar Pgto")))))</f>
        <v/>
      </c>
      <c r="B35" t="inlineStr">
        <is>
          <t>RDB - DIV</t>
        </is>
      </c>
      <c r="C35" t="inlineStr">
        <is>
          <t>Consumidor</t>
        </is>
      </c>
      <c r="D35" t="inlineStr">
        <is>
          <t>ADIANTAMENTO</t>
        </is>
      </c>
      <c r="E35" t="n">
        <v>1034</v>
      </c>
      <c r="F35" t="inlineStr">
        <is>
          <t>Juros e correção</t>
        </is>
      </c>
      <c r="G35" t="n">
        <v>726.99</v>
      </c>
      <c r="H35" t="inlineStr">
        <is>
          <t>Fevereiro</t>
        </is>
      </c>
      <c r="I35" t="inlineStr">
        <is>
          <t>17.03.2024</t>
        </is>
      </c>
      <c r="J35" t="inlineStr">
        <is>
          <t>Variável pontual</t>
        </is>
      </c>
      <c r="K35" t="inlineStr">
        <is>
          <t>Juros e correção Consumidor fevereiro</t>
        </is>
      </c>
      <c r="L35" t="n">
        <v>25001034</v>
      </c>
      <c r="M35" t="n">
        <v>4500001034</v>
      </c>
      <c r="N35" t="n">
        <v>180001034</v>
      </c>
      <c r="O35" t="n">
        <v>10</v>
      </c>
      <c r="P35" t="inlineStr">
        <is>
          <t xml:space="preserve">1301034 </t>
        </is>
      </c>
      <c r="Q35" t="inlineStr">
        <is>
          <t>OUTRA ÁREA</t>
        </is>
      </c>
      <c r="R35" t="inlineStr">
        <is>
          <t>GI52015</t>
        </is>
      </c>
      <c r="S35" t="n">
        <v>622600</v>
      </c>
      <c r="T35" t="inlineStr">
        <is>
          <t>20.02.2024</t>
        </is>
      </c>
      <c r="U35" t="n">
        <v>211401034</v>
      </c>
    </row>
    <row r="36">
      <c r="A36">
        <f>IF(U36&lt;&gt;"","Pago",IF(T36&lt;&gt;"","Enviado para pagamento",IF(N36&lt;&gt;"","Pedido Recepcionado",IF(M36&lt;&gt;"","Pedido Concluído",IF(L36&lt;&gt;"","RC Criada","Lançar Pgto")))))</f>
        <v/>
      </c>
      <c r="B36" t="inlineStr">
        <is>
          <t>RDB - CONS</t>
        </is>
      </c>
      <c r="C36" t="inlineStr">
        <is>
          <t>Consumidor</t>
        </is>
      </c>
      <c r="D36" t="inlineStr">
        <is>
          <t>ADIANTAMENTO</t>
        </is>
      </c>
      <c r="E36" t="n">
        <v>1035</v>
      </c>
      <c r="F36" t="inlineStr">
        <is>
          <t>Honorários</t>
        </is>
      </c>
      <c r="G36" t="n">
        <v>30000</v>
      </c>
      <c r="H36" t="inlineStr">
        <is>
          <t>Março</t>
        </is>
      </c>
      <c r="I36" t="inlineStr">
        <is>
          <t>21.04.2024</t>
        </is>
      </c>
      <c r="J36" t="inlineStr">
        <is>
          <t>Fixo</t>
        </is>
      </c>
      <c r="K36" t="inlineStr">
        <is>
          <t>Honorários Consumidor março</t>
        </is>
      </c>
      <c r="L36" t="n">
        <v>25001035</v>
      </c>
      <c r="M36" t="n">
        <v>4500001035</v>
      </c>
      <c r="N36" t="n">
        <v>180001035</v>
      </c>
      <c r="O36" t="n">
        <v>10</v>
      </c>
      <c r="P36" t="inlineStr">
        <is>
          <t xml:space="preserve">1301035 </t>
        </is>
      </c>
      <c r="Q36" t="inlineStr">
        <is>
          <t>HONORÁRIOS E DESPESAS</t>
        </is>
      </c>
      <c r="R36" t="inlineStr">
        <is>
          <t xml:space="preserve"> GI52000</t>
        </is>
      </c>
      <c r="S36" t="n">
        <v>622600</v>
      </c>
      <c r="T36" t="inlineStr">
        <is>
          <t>09.03.2024</t>
        </is>
      </c>
      <c r="U36" t="n">
        <v>211401035</v>
      </c>
    </row>
    <row r="37">
      <c r="A37">
        <f>IF(U37&lt;&gt;"","Pago",IF(T37&lt;&gt;"","Enviado para pagamento",IF(N37&lt;&gt;"","Pedido Recepcionado",IF(M37&lt;&gt;"","Pedido Concluído",IF(L37&lt;&gt;"","RC Criada","Lançar Pgto")))))</f>
        <v/>
      </c>
      <c r="B37" t="inlineStr">
        <is>
          <t>RDB - CONS</t>
        </is>
      </c>
      <c r="C37" t="inlineStr">
        <is>
          <t>Consumidor</t>
        </is>
      </c>
      <c r="D37" t="inlineStr">
        <is>
          <t>Interno</t>
        </is>
      </c>
      <c r="E37" t="n">
        <v>1036</v>
      </c>
      <c r="F37" t="inlineStr">
        <is>
          <t>Condenação</t>
        </is>
      </c>
      <c r="G37" t="n">
        <v>53479.41</v>
      </c>
      <c r="H37" t="inlineStr">
        <is>
          <t>Março</t>
        </is>
      </c>
      <c r="I37" t="inlineStr">
        <is>
          <t>26.04.2024</t>
        </is>
      </c>
      <c r="J37" t="inlineStr">
        <is>
          <t>Variável pontual</t>
        </is>
      </c>
      <c r="K37" t="inlineStr">
        <is>
          <t>Condenação Consumidor março</t>
        </is>
      </c>
      <c r="L37" t="n">
        <v>25001036</v>
      </c>
      <c r="M37" t="n">
        <v>4500001036</v>
      </c>
      <c r="N37" t="n">
        <v>180001036</v>
      </c>
      <c r="O37" t="n">
        <v>10</v>
      </c>
      <c r="P37" t="inlineStr">
        <is>
          <t xml:space="preserve">1301036 </t>
        </is>
      </c>
      <c r="Q37" t="inlineStr">
        <is>
          <t>CORPORATE</t>
        </is>
      </c>
      <c r="R37" t="inlineStr">
        <is>
          <t xml:space="preserve"> GI52000</t>
        </is>
      </c>
      <c r="S37" t="n">
        <v>622600</v>
      </c>
      <c r="T37" t="inlineStr">
        <is>
          <t>24.03.2024</t>
        </is>
      </c>
      <c r="U37" t="n">
        <v>211401036</v>
      </c>
    </row>
    <row r="38">
      <c r="A38">
        <f>IF(U38&lt;&gt;"","Pago",IF(T38&lt;&gt;"","Enviado para pagamento",IF(N38&lt;&gt;"","Pedido Recepcionado",IF(M38&lt;&gt;"","Pedido Concluído",IF(L38&lt;&gt;"","RC Criada","Lançar Pgto")))))</f>
        <v/>
      </c>
      <c r="B38" t="inlineStr">
        <is>
          <t>RDB - CONS</t>
        </is>
      </c>
      <c r="C38" t="inlineStr">
        <is>
          <t>Consumidor</t>
        </is>
      </c>
      <c r="D38" t="inlineStr">
        <is>
          <t>ADIANTAMENTO</t>
        </is>
      </c>
      <c r="E38" t="n">
        <v>1037</v>
      </c>
      <c r="F38" t="inlineStr">
        <is>
          <t>Acordo</t>
        </is>
      </c>
      <c r="G38" t="n">
        <v>10149.85</v>
      </c>
      <c r="H38" t="inlineStr">
        <is>
          <t>Março</t>
        </is>
      </c>
      <c r="I38" t="inlineStr">
        <is>
          <t>25.04.2024</t>
        </is>
      </c>
      <c r="J38" t="inlineStr">
        <is>
          <t>Variável pontual</t>
        </is>
      </c>
      <c r="K38" t="inlineStr">
        <is>
          <t>Acordo Consumidor março</t>
        </is>
      </c>
      <c r="L38" t="n">
        <v>25001037</v>
      </c>
      <c r="M38" t="n">
        <v>4500001037</v>
      </c>
      <c r="N38" t="n">
        <v>180001037</v>
      </c>
      <c r="O38" t="n">
        <v>10</v>
      </c>
      <c r="P38" t="inlineStr">
        <is>
          <t xml:space="preserve">1301037 </t>
        </is>
      </c>
      <c r="Q38" t="inlineStr">
        <is>
          <t>ACORDOS CONSUMIDOR</t>
        </is>
      </c>
      <c r="R38" t="inlineStr">
        <is>
          <t xml:space="preserve"> GI52000</t>
        </is>
      </c>
      <c r="S38" t="n">
        <v>622600</v>
      </c>
      <c r="T38" t="inlineStr">
        <is>
          <t>11.03.2024</t>
        </is>
      </c>
      <c r="U38" t="n">
        <v>211401037</v>
      </c>
    </row>
    <row r="39">
      <c r="A39">
        <f>IF(U39&lt;&gt;"","Pago",IF(T39&lt;&gt;"","Enviado para pagamento",IF(N39&lt;&gt;"","Pedido Recepcionado",IF(M39&lt;&gt;"","Pedido Concluído",IF(L39&lt;&gt;"","RC Criada","Lançar Pgto")))))</f>
        <v/>
      </c>
      <c r="B39" t="inlineStr">
        <is>
          <t>RDB - CONS</t>
        </is>
      </c>
      <c r="C39" t="inlineStr">
        <is>
          <t>Acordo Projeto SAC</t>
        </is>
      </c>
      <c r="D39" t="inlineStr">
        <is>
          <t>ADIANTAMENTO</t>
        </is>
      </c>
      <c r="E39" t="n">
        <v>1038</v>
      </c>
      <c r="F39" t="inlineStr">
        <is>
          <t>Acordo</t>
        </is>
      </c>
      <c r="G39" t="n">
        <v>6756.97</v>
      </c>
      <c r="H39" t="inlineStr">
        <is>
          <t>Março</t>
        </is>
      </c>
      <c r="I39" t="inlineStr">
        <is>
          <t>10.04.2024</t>
        </is>
      </c>
      <c r="J39" t="inlineStr">
        <is>
          <t>Variável pontual</t>
        </is>
      </c>
      <c r="K39" t="inlineStr">
        <is>
          <t>Acordo Acordo Projeto SAC março</t>
        </is>
      </c>
      <c r="L39" t="n">
        <v>25001038</v>
      </c>
      <c r="M39" t="n">
        <v>4500001038</v>
      </c>
      <c r="N39" t="n">
        <v>180001038</v>
      </c>
      <c r="O39" t="n">
        <v>10</v>
      </c>
      <c r="P39" t="inlineStr">
        <is>
          <t xml:space="preserve">1301038 </t>
        </is>
      </c>
      <c r="Q39" t="inlineStr">
        <is>
          <t>ACORDOS SAC</t>
        </is>
      </c>
      <c r="R39" t="inlineStr">
        <is>
          <t xml:space="preserve"> GI52000</t>
        </is>
      </c>
      <c r="S39" t="n">
        <v>622600</v>
      </c>
      <c r="T39" t="inlineStr">
        <is>
          <t>15.03.2024</t>
        </is>
      </c>
      <c r="U39" t="n">
        <v>211401038</v>
      </c>
    </row>
    <row r="40">
      <c r="A40">
        <f>IF(U40&lt;&gt;"","Pago",IF(T40&lt;&gt;"","Enviado para pagamento",IF(N40&lt;&gt;"","Pedido Recepcionado",IF(M40&lt;&gt;"","Pedido Concluído",IF(L40&lt;&gt;"","RC Criada","Lançar Pgto")))))</f>
        <v/>
      </c>
      <c r="B40" t="inlineStr">
        <is>
          <t>RDB - DIV</t>
        </is>
      </c>
      <c r="C40" t="inlineStr">
        <is>
          <t>Cível</t>
        </is>
      </c>
      <c r="D40" t="inlineStr">
        <is>
          <t>Interno</t>
        </is>
      </c>
      <c r="E40" t="n">
        <v>1039</v>
      </c>
      <c r="F40" t="inlineStr">
        <is>
          <t>Honorários</t>
        </is>
      </c>
      <c r="G40" t="n">
        <v>6400</v>
      </c>
      <c r="H40" t="inlineStr">
        <is>
          <t>Março</t>
        </is>
      </c>
      <c r="I40" t="inlineStr">
        <is>
          <t>28.04.2024</t>
        </is>
      </c>
      <c r="J40" t="inlineStr">
        <is>
          <t>Fixo</t>
        </is>
      </c>
      <c r="K40" t="inlineStr">
        <is>
          <t>Honorários Cível março</t>
        </is>
      </c>
      <c r="L40" t="n">
        <v>25001039</v>
      </c>
      <c r="M40" t="n">
        <v>4500001039</v>
      </c>
      <c r="N40" t="n">
        <v>180001039</v>
      </c>
      <c r="O40" t="n">
        <v>10</v>
      </c>
      <c r="P40" t="inlineStr">
        <is>
          <t xml:space="preserve">1301039 </t>
        </is>
      </c>
      <c r="Q40" t="inlineStr">
        <is>
          <t>HONORÁRIOS E DESPESAS</t>
        </is>
      </c>
      <c r="R40" t="inlineStr">
        <is>
          <t xml:space="preserve"> GI52000</t>
        </is>
      </c>
      <c r="S40" t="n">
        <v>622600</v>
      </c>
      <c r="T40" t="inlineStr">
        <is>
          <t>24.03.2024</t>
        </is>
      </c>
      <c r="U40" t="n">
        <v>211401039</v>
      </c>
    </row>
    <row r="41">
      <c r="A41">
        <f>IF(U41&lt;&gt;"","Pago",IF(T41&lt;&gt;"","Enviado para pagamento",IF(N41&lt;&gt;"","Pedido Recepcionado",IF(M41&lt;&gt;"","Pedido Concluído",IF(L41&lt;&gt;"","RC Criada","Lançar Pgto")))))</f>
        <v/>
      </c>
      <c r="B41" t="inlineStr">
        <is>
          <t>RDB - DIV</t>
        </is>
      </c>
      <c r="C41" t="inlineStr">
        <is>
          <t>Cível</t>
        </is>
      </c>
      <c r="D41" t="inlineStr">
        <is>
          <t>Interno</t>
        </is>
      </c>
      <c r="E41" t="n">
        <v>1040</v>
      </c>
      <c r="F41" t="inlineStr">
        <is>
          <t>Custas</t>
        </is>
      </c>
      <c r="G41" t="n">
        <v>814.8200000000001</v>
      </c>
      <c r="H41" t="inlineStr">
        <is>
          <t>Março</t>
        </is>
      </c>
      <c r="I41" t="inlineStr">
        <is>
          <t>21.04.2024</t>
        </is>
      </c>
      <c r="J41" t="inlineStr">
        <is>
          <t>Variável pontual</t>
        </is>
      </c>
      <c r="K41" t="inlineStr">
        <is>
          <t>Custas Cível março</t>
        </is>
      </c>
      <c r="L41" t="n">
        <v>25001040</v>
      </c>
      <c r="M41" t="n">
        <v>4500001040</v>
      </c>
      <c r="N41" t="n">
        <v>180001040</v>
      </c>
      <c r="O41" t="n">
        <v>10</v>
      </c>
      <c r="P41" t="inlineStr">
        <is>
          <t xml:space="preserve">1301040 </t>
        </is>
      </c>
      <c r="Q41" t="inlineStr">
        <is>
          <t>HONORÁRIOS E DESPESAS</t>
        </is>
      </c>
      <c r="R41" t="inlineStr">
        <is>
          <t xml:space="preserve"> GI52000</t>
        </is>
      </c>
      <c r="S41" t="n">
        <v>622600</v>
      </c>
      <c r="T41" t="inlineStr">
        <is>
          <t>04.03.2024</t>
        </is>
      </c>
      <c r="U41" t="n">
        <v>211401040</v>
      </c>
    </row>
    <row r="42">
      <c r="A42">
        <f>IF(U42&lt;&gt;"","Pago",IF(T42&lt;&gt;"","Enviado para pagamento",IF(N42&lt;&gt;"","Pedido Recepcionado",IF(M42&lt;&gt;"","Pedido Concluído",IF(L42&lt;&gt;"","RC Criada","Lançar Pgto")))))</f>
        <v/>
      </c>
      <c r="B42" t="inlineStr">
        <is>
          <t>RDB - TRAB CVP</t>
        </is>
      </c>
      <c r="C42" t="inlineStr">
        <is>
          <t>Trabalhista</t>
        </is>
      </c>
      <c r="D42" t="inlineStr">
        <is>
          <t>ADIANTAMENTO</t>
        </is>
      </c>
      <c r="E42" t="n">
        <v>1041</v>
      </c>
      <c r="F42" t="inlineStr">
        <is>
          <t>Condenação</t>
        </is>
      </c>
      <c r="G42" t="n">
        <v>28705.19</v>
      </c>
      <c r="H42" t="inlineStr">
        <is>
          <t>Março</t>
        </is>
      </c>
      <c r="I42" t="inlineStr">
        <is>
          <t>25.04.2024</t>
        </is>
      </c>
      <c r="J42" t="inlineStr">
        <is>
          <t>Variável pontual</t>
        </is>
      </c>
      <c r="K42" t="inlineStr">
        <is>
          <t>Condenação Trabalhista março</t>
        </is>
      </c>
      <c r="L42" t="n">
        <v>25001041</v>
      </c>
      <c r="M42" t="n">
        <v>4500001041</v>
      </c>
      <c r="N42" t="n">
        <v>180001041</v>
      </c>
      <c r="O42" t="n">
        <v>10</v>
      </c>
      <c r="P42" t="inlineStr">
        <is>
          <t xml:space="preserve">1301041 </t>
        </is>
      </c>
      <c r="Q42" t="inlineStr">
        <is>
          <t>TRABALHISTA GERAL</t>
        </is>
      </c>
      <c r="R42" t="inlineStr">
        <is>
          <t xml:space="preserve"> GI52000</t>
        </is>
      </c>
      <c r="S42" t="n">
        <v>622600</v>
      </c>
      <c r="T42" t="inlineStr">
        <is>
          <t>17.03.2024</t>
        </is>
      </c>
      <c r="U42" t="n">
        <v>211401041</v>
      </c>
    </row>
    <row r="43">
      <c r="A43">
        <f>IF(U43&lt;&gt;"","Pago",IF(T43&lt;&gt;"","Enviado para pagamento",IF(N43&lt;&gt;"","Pedido Recepcionado",IF(M43&lt;&gt;"","Pedido Concluído",IF(L43&lt;&gt;"","RC Criada","Lançar Pgto")))))</f>
        <v/>
      </c>
      <c r="B43" t="inlineStr">
        <is>
          <t>RDB - TRAB CVP</t>
        </is>
      </c>
      <c r="C43" t="inlineStr">
        <is>
          <t>Trabalhista</t>
        </is>
      </c>
      <c r="D43" t="inlineStr">
        <is>
          <t>Interno</t>
        </is>
      </c>
      <c r="E43" t="n">
        <v>1042</v>
      </c>
      <c r="F43" t="inlineStr">
        <is>
          <t>acordo</t>
        </is>
      </c>
      <c r="G43" t="n">
        <v>15653.82</v>
      </c>
      <c r="H43" t="inlineStr">
        <is>
          <t>Março</t>
        </is>
      </c>
      <c r="I43" t="inlineStr">
        <is>
          <t>16.04.2024</t>
        </is>
      </c>
      <c r="J43" t="inlineStr">
        <is>
          <t>variável pontual</t>
        </is>
      </c>
      <c r="K43" t="inlineStr">
        <is>
          <t>acordo Trabalhista março</t>
        </is>
      </c>
      <c r="L43" t="n">
        <v>25001042</v>
      </c>
      <c r="M43" t="n">
        <v>4500001042</v>
      </c>
      <c r="N43" t="n">
        <v>180001042</v>
      </c>
      <c r="O43" t="n">
        <v>10</v>
      </c>
      <c r="P43" t="inlineStr">
        <is>
          <t xml:space="preserve">1301042 </t>
        </is>
      </c>
      <c r="Q43" t="inlineStr">
        <is>
          <t>TRABALHISTA GERAL</t>
        </is>
      </c>
      <c r="R43" t="inlineStr">
        <is>
          <t xml:space="preserve"> GI52000</t>
        </is>
      </c>
      <c r="S43" t="n">
        <v>622600</v>
      </c>
      <c r="T43" t="inlineStr">
        <is>
          <t>25.03.2024</t>
        </is>
      </c>
      <c r="U43" t="n">
        <v>211401042</v>
      </c>
    </row>
    <row r="44">
      <c r="A44">
        <f>IF(U44&lt;&gt;"","Pago",IF(T44&lt;&gt;"","Enviado para pagamento",IF(N44&lt;&gt;"","Pedido Recepcionado",IF(M44&lt;&gt;"","Pedido Concluído",IF(L44&lt;&gt;"","RC Criada","Lançar Pgto")))))</f>
        <v/>
      </c>
      <c r="B44" t="inlineStr">
        <is>
          <t>RDB - TRAB SUPORTE</t>
        </is>
      </c>
      <c r="C44" t="inlineStr">
        <is>
          <t>Trabalhista</t>
        </is>
      </c>
      <c r="D44" t="inlineStr">
        <is>
          <t>Interno</t>
        </is>
      </c>
      <c r="E44" t="n">
        <v>1043</v>
      </c>
      <c r="F44" t="inlineStr">
        <is>
          <t>Acordo</t>
        </is>
      </c>
      <c r="G44" t="n">
        <v>7781.58</v>
      </c>
      <c r="H44" t="inlineStr">
        <is>
          <t>Março</t>
        </is>
      </c>
      <c r="I44" t="inlineStr">
        <is>
          <t>24.04.2024</t>
        </is>
      </c>
      <c r="J44" t="inlineStr">
        <is>
          <t>Variável pontual</t>
        </is>
      </c>
      <c r="K44" t="inlineStr">
        <is>
          <t>Acordo Trabalhista março</t>
        </is>
      </c>
      <c r="L44" t="n">
        <v>25001043</v>
      </c>
      <c r="M44" t="n">
        <v>4500001043</v>
      </c>
      <c r="N44" t="n">
        <v>180001043</v>
      </c>
      <c r="O44" t="n">
        <v>10</v>
      </c>
      <c r="P44" t="inlineStr">
        <is>
          <t xml:space="preserve">1301043 </t>
        </is>
      </c>
      <c r="Q44" t="inlineStr">
        <is>
          <t>TRABALHISTA ACORDOS</t>
        </is>
      </c>
      <c r="R44" t="inlineStr">
        <is>
          <t xml:space="preserve"> GI52000</t>
        </is>
      </c>
      <c r="S44" t="n">
        <v>622600</v>
      </c>
      <c r="T44" t="inlineStr">
        <is>
          <t>11.03.2024</t>
        </is>
      </c>
      <c r="U44" t="n">
        <v>211401043</v>
      </c>
    </row>
    <row r="45">
      <c r="A45">
        <f>IF(U45&lt;&gt;"","Pago",IF(T45&lt;&gt;"","Enviado para pagamento",IF(N45&lt;&gt;"","Pedido Recepcionado",IF(M45&lt;&gt;"","Pedido Concluído",IF(L45&lt;&gt;"","RC Criada","Lançar Pgto")))))</f>
        <v/>
      </c>
      <c r="B45" t="inlineStr">
        <is>
          <t>RDB - TRAB PIF</t>
        </is>
      </c>
      <c r="C45" t="inlineStr">
        <is>
          <t>Trabalhista</t>
        </is>
      </c>
      <c r="D45" t="inlineStr">
        <is>
          <t>Interno</t>
        </is>
      </c>
      <c r="E45" t="n">
        <v>1044</v>
      </c>
      <c r="F45" t="inlineStr">
        <is>
          <t>Acordo</t>
        </is>
      </c>
      <c r="G45" t="n">
        <v>19908.85</v>
      </c>
      <c r="H45" t="inlineStr">
        <is>
          <t>Março</t>
        </is>
      </c>
      <c r="I45" t="inlineStr">
        <is>
          <t>16.04.2024</t>
        </is>
      </c>
      <c r="J45" t="inlineStr">
        <is>
          <t>Variável pontual</t>
        </is>
      </c>
      <c r="K45" t="inlineStr">
        <is>
          <t>Acordo Trabalhista março</t>
        </is>
      </c>
      <c r="L45" t="n">
        <v>25001044</v>
      </c>
      <c r="M45" t="n">
        <v>4500001044</v>
      </c>
      <c r="N45" t="n">
        <v>180001044</v>
      </c>
      <c r="O45" t="n">
        <v>10</v>
      </c>
      <c r="P45" t="inlineStr">
        <is>
          <t xml:space="preserve">1301044 </t>
        </is>
      </c>
      <c r="Q45" t="inlineStr">
        <is>
          <t>PIF/PDV</t>
        </is>
      </c>
      <c r="R45" t="inlineStr">
        <is>
          <t xml:space="preserve"> GI52000</t>
        </is>
      </c>
      <c r="S45" t="n">
        <v>622600</v>
      </c>
      <c r="T45" t="inlineStr">
        <is>
          <t>27.03.2024</t>
        </is>
      </c>
      <c r="U45" t="n">
        <v>211401044</v>
      </c>
    </row>
    <row r="46">
      <c r="A46">
        <f>IF(U46&lt;&gt;"","Pago",IF(T46&lt;&gt;"","Enviado para pagamento",IF(N46&lt;&gt;"","Pedido Recepcionado",IF(M46&lt;&gt;"","Pedido Concluído",IF(L46&lt;&gt;"","RC Criada","Lançar Pgto")))))</f>
        <v/>
      </c>
      <c r="B46" t="inlineStr">
        <is>
          <t>RDB - TRIB</t>
        </is>
      </c>
      <c r="C46" t="inlineStr">
        <is>
          <t>Tributário</t>
        </is>
      </c>
      <c r="D46" t="inlineStr">
        <is>
          <t>ADIANTAMENTO</t>
        </is>
      </c>
      <c r="E46" t="n">
        <v>1045</v>
      </c>
      <c r="F46" t="inlineStr">
        <is>
          <t>Honorários</t>
        </is>
      </c>
      <c r="G46" t="n">
        <v>17000</v>
      </c>
      <c r="H46" t="inlineStr">
        <is>
          <t>Março</t>
        </is>
      </c>
      <c r="I46" t="inlineStr">
        <is>
          <t>12.04.2024</t>
        </is>
      </c>
      <c r="J46" t="inlineStr">
        <is>
          <t>Fixo</t>
        </is>
      </c>
      <c r="K46" t="inlineStr">
        <is>
          <t>Honorários Tributário março</t>
        </is>
      </c>
      <c r="L46" t="n">
        <v>25001045</v>
      </c>
      <c r="M46" t="n">
        <v>4500001045</v>
      </c>
      <c r="N46" t="n">
        <v>180001045</v>
      </c>
      <c r="O46" t="n">
        <v>10</v>
      </c>
      <c r="P46" t="inlineStr">
        <is>
          <t xml:space="preserve">1301045 </t>
        </is>
      </c>
      <c r="Q46" t="inlineStr">
        <is>
          <t>HONORÁRIOS E DESPESAS</t>
        </is>
      </c>
      <c r="R46" t="inlineStr">
        <is>
          <t xml:space="preserve"> GI52000</t>
        </is>
      </c>
      <c r="S46" t="n">
        <v>622600</v>
      </c>
      <c r="T46" t="inlineStr">
        <is>
          <t>02.03.2024</t>
        </is>
      </c>
      <c r="U46" t="n">
        <v>211401045</v>
      </c>
    </row>
    <row r="47">
      <c r="A47">
        <f>IF(U47&lt;&gt;"","Pago",IF(T47&lt;&gt;"","Enviado para pagamento",IF(N47&lt;&gt;"","Pedido Recepcionado",IF(M47&lt;&gt;"","Pedido Concluído",IF(L47&lt;&gt;"","RC Criada","Lançar Pgto")))))</f>
        <v/>
      </c>
      <c r="B47" t="inlineStr">
        <is>
          <t>RDB - TRIB</t>
        </is>
      </c>
      <c r="C47" t="inlineStr">
        <is>
          <t>Tributário</t>
        </is>
      </c>
      <c r="D47" t="inlineStr">
        <is>
          <t>Interno</t>
        </is>
      </c>
      <c r="E47" t="n">
        <v>1046</v>
      </c>
      <c r="F47" t="inlineStr">
        <is>
          <t>Custas</t>
        </is>
      </c>
      <c r="G47" t="n">
        <v>2689.05</v>
      </c>
      <c r="H47" t="inlineStr">
        <is>
          <t>Março</t>
        </is>
      </c>
      <c r="I47" t="inlineStr">
        <is>
          <t>07.04.2024</t>
        </is>
      </c>
      <c r="J47" t="inlineStr">
        <is>
          <t>Variável pontual</t>
        </is>
      </c>
      <c r="K47" t="inlineStr">
        <is>
          <t>Custas Tributário março</t>
        </is>
      </c>
      <c r="L47" t="n">
        <v>25001046</v>
      </c>
      <c r="M47" t="n">
        <v>4500001046</v>
      </c>
      <c r="N47" t="n">
        <v>180001046</v>
      </c>
      <c r="O47" t="n">
        <v>10</v>
      </c>
      <c r="P47" t="inlineStr">
        <is>
          <t xml:space="preserve">1301046 </t>
        </is>
      </c>
      <c r="Q47" t="inlineStr">
        <is>
          <t>CORPORATE</t>
        </is>
      </c>
      <c r="R47" t="inlineStr">
        <is>
          <t xml:space="preserve"> GI52000</t>
        </is>
      </c>
      <c r="S47" t="n">
        <v>622600</v>
      </c>
      <c r="T47" t="inlineStr">
        <is>
          <t>24.03.2024</t>
        </is>
      </c>
      <c r="U47" t="n">
        <v>211401046</v>
      </c>
    </row>
    <row r="48">
      <c r="A48">
        <f>IF(U48&lt;&gt;"","Pago",IF(T48&lt;&gt;"","Enviado para pagamento",IF(N48&lt;&gt;"","Pedido Recepcionado",IF(M48&lt;&gt;"","Pedido Concluído",IF(L48&lt;&gt;"","RC Criada","Lançar Pgto")))))</f>
        <v/>
      </c>
      <c r="B48" t="inlineStr">
        <is>
          <t>RDB - DIV</t>
        </is>
      </c>
      <c r="C48" t="inlineStr">
        <is>
          <t xml:space="preserve">LGPD </t>
        </is>
      </c>
      <c r="D48" t="inlineStr">
        <is>
          <t>ADIANTAMENTO</t>
        </is>
      </c>
      <c r="E48" t="n">
        <v>1047</v>
      </c>
      <c r="F48" t="inlineStr">
        <is>
          <t>Honorários</t>
        </is>
      </c>
      <c r="G48" t="n">
        <v>12000</v>
      </c>
      <c r="H48" t="inlineStr">
        <is>
          <t>Março</t>
        </is>
      </c>
      <c r="I48" t="inlineStr">
        <is>
          <t>07.04.2024</t>
        </is>
      </c>
      <c r="J48" t="inlineStr">
        <is>
          <t>Fixo</t>
        </is>
      </c>
      <c r="K48" t="inlineStr">
        <is>
          <t>Honorários LGPD março</t>
        </is>
      </c>
      <c r="L48" t="n">
        <v>25001047</v>
      </c>
      <c r="M48" t="n">
        <v>4500001047</v>
      </c>
      <c r="N48" t="n">
        <v>180001047</v>
      </c>
      <c r="O48" t="n">
        <v>10</v>
      </c>
      <c r="P48" t="inlineStr">
        <is>
          <t xml:space="preserve">1301047 </t>
        </is>
      </c>
      <c r="Q48" t="inlineStr">
        <is>
          <t>LGPD GERAL &amp; TERCEIROS</t>
        </is>
      </c>
      <c r="R48" t="inlineStr">
        <is>
          <t xml:space="preserve"> GI52000</t>
        </is>
      </c>
      <c r="S48" t="n">
        <v>622600</v>
      </c>
      <c r="T48" t="inlineStr">
        <is>
          <t>25.03.2024</t>
        </is>
      </c>
      <c r="U48" t="n">
        <v>211401047</v>
      </c>
    </row>
    <row r="49">
      <c r="A49">
        <f>IF(U49&lt;&gt;"","Pago",IF(T49&lt;&gt;"","Enviado para pagamento",IF(N49&lt;&gt;"","Pedido Recepcionado",IF(M49&lt;&gt;"","Pedido Concluído",IF(L49&lt;&gt;"","RC Criada","Lançar Pgto")))))</f>
        <v/>
      </c>
      <c r="B49" t="inlineStr">
        <is>
          <t>RDB - DIV</t>
        </is>
      </c>
      <c r="C49" t="inlineStr">
        <is>
          <t xml:space="preserve">LGPD </t>
        </is>
      </c>
      <c r="D49" t="inlineStr">
        <is>
          <t>Interno</t>
        </is>
      </c>
      <c r="E49" t="n">
        <v>1048</v>
      </c>
      <c r="F49" t="inlineStr">
        <is>
          <t xml:space="preserve">LGPD </t>
        </is>
      </c>
      <c r="G49" t="n">
        <v>2532.71</v>
      </c>
      <c r="H49" t="inlineStr">
        <is>
          <t>Março</t>
        </is>
      </c>
      <c r="I49" t="inlineStr">
        <is>
          <t>09.04.2024</t>
        </is>
      </c>
      <c r="J49" t="inlineStr">
        <is>
          <t>Variável pontual</t>
        </is>
      </c>
      <c r="K49" t="inlineStr">
        <is>
          <t>LGPD LGPD março</t>
        </is>
      </c>
      <c r="L49" t="n">
        <v>25001048</v>
      </c>
      <c r="M49" t="n">
        <v>4500001048</v>
      </c>
      <c r="N49" t="n">
        <v>180001048</v>
      </c>
      <c r="O49" t="n">
        <v>10</v>
      </c>
      <c r="P49" t="inlineStr">
        <is>
          <t xml:space="preserve">1301048 </t>
        </is>
      </c>
      <c r="Q49" t="inlineStr">
        <is>
          <t>LGPD GERAL &amp; TERCEIROS</t>
        </is>
      </c>
      <c r="R49" t="inlineStr">
        <is>
          <t xml:space="preserve"> GI52000</t>
        </is>
      </c>
      <c r="S49" t="n">
        <v>622600</v>
      </c>
      <c r="T49" t="inlineStr">
        <is>
          <t>22.03.2024</t>
        </is>
      </c>
      <c r="U49" t="n">
        <v>211401048</v>
      </c>
    </row>
    <row r="50">
      <c r="A50">
        <f>IF(U50&lt;&gt;"","Pago",IF(T50&lt;&gt;"","Enviado para pagamento",IF(N50&lt;&gt;"","Pedido Recepcionado",IF(M50&lt;&gt;"","Pedido Concluído",IF(L50&lt;&gt;"","RC Criada","Lançar Pgto")))))</f>
        <v/>
      </c>
      <c r="B50" t="inlineStr">
        <is>
          <t>RDB - DIV</t>
        </is>
      </c>
      <c r="C50" t="inlineStr">
        <is>
          <t>Cartório</t>
        </is>
      </c>
      <c r="D50" t="inlineStr">
        <is>
          <t>Interno</t>
        </is>
      </c>
      <c r="E50" t="n">
        <v>1049</v>
      </c>
      <c r="F50" t="inlineStr">
        <is>
          <t>Despesas</t>
        </is>
      </c>
      <c r="G50" t="n">
        <v>1485.17</v>
      </c>
      <c r="H50" t="inlineStr">
        <is>
          <t>Março</t>
        </is>
      </c>
      <c r="I50" t="inlineStr">
        <is>
          <t>13.04.2024</t>
        </is>
      </c>
      <c r="J50" t="inlineStr">
        <is>
          <t xml:space="preserve">Fixo valor variável </t>
        </is>
      </c>
      <c r="K50" t="inlineStr">
        <is>
          <t>Despesas Cartório março</t>
        </is>
      </c>
      <c r="L50" t="n">
        <v>25001049</v>
      </c>
      <c r="M50" t="n">
        <v>4500001049</v>
      </c>
      <c r="N50" t="n">
        <v>180001049</v>
      </c>
      <c r="O50" t="n">
        <v>10</v>
      </c>
      <c r="P50" t="inlineStr">
        <is>
          <t xml:space="preserve">1301049 </t>
        </is>
      </c>
      <c r="Q50" t="inlineStr">
        <is>
          <t>CARTÓRIO</t>
        </is>
      </c>
      <c r="R50" t="inlineStr">
        <is>
          <t xml:space="preserve"> GI52000</t>
        </is>
      </c>
      <c r="S50" t="n">
        <v>622600</v>
      </c>
      <c r="T50" t="inlineStr">
        <is>
          <t>17.03.2024</t>
        </is>
      </c>
      <c r="U50" t="n">
        <v>211401049</v>
      </c>
    </row>
    <row r="51">
      <c r="A51">
        <f>IF(U51&lt;&gt;"","Pago",IF(T51&lt;&gt;"","Enviado para pagamento",IF(N51&lt;&gt;"","Pedido Recepcionado",IF(M51&lt;&gt;"","Pedido Concluído",IF(L51&lt;&gt;"","RC Criada","Lançar Pgto")))))</f>
        <v/>
      </c>
      <c r="B51" t="inlineStr">
        <is>
          <t>RDB - DIV</t>
        </is>
      </c>
      <c r="C51" t="inlineStr">
        <is>
          <t>Projuris SUPRAMONTE</t>
        </is>
      </c>
      <c r="D51" t="inlineStr">
        <is>
          <t>ADIANTAMENTO</t>
        </is>
      </c>
      <c r="E51" t="n">
        <v>1050</v>
      </c>
      <c r="F51" t="inlineStr">
        <is>
          <t>Projuris</t>
        </is>
      </c>
      <c r="G51" t="n">
        <v>2068.72</v>
      </c>
      <c r="H51" t="inlineStr">
        <is>
          <t>Março</t>
        </is>
      </c>
      <c r="I51" t="inlineStr">
        <is>
          <t>11.04.2024</t>
        </is>
      </c>
      <c r="J51" t="inlineStr">
        <is>
          <t>Fixo</t>
        </is>
      </c>
      <c r="K51" t="inlineStr">
        <is>
          <t>Projuris Projuris SUPRAMONTE março</t>
        </is>
      </c>
      <c r="L51" t="n">
        <v>25001050</v>
      </c>
      <c r="M51" t="n">
        <v>4500001050</v>
      </c>
      <c r="N51" t="n">
        <v>180001050</v>
      </c>
      <c r="O51" t="n">
        <v>10</v>
      </c>
      <c r="P51" t="inlineStr">
        <is>
          <t xml:space="preserve">1301050 </t>
        </is>
      </c>
      <c r="Q51" t="inlineStr">
        <is>
          <t>SISTEMAS</t>
        </is>
      </c>
      <c r="R51" t="inlineStr">
        <is>
          <t xml:space="preserve"> GI52000</t>
        </is>
      </c>
      <c r="S51" t="n">
        <v>622600</v>
      </c>
      <c r="T51" t="inlineStr">
        <is>
          <t>18.03.2024</t>
        </is>
      </c>
      <c r="U51" t="n">
        <v>211401050</v>
      </c>
    </row>
    <row r="52">
      <c r="A52">
        <f>IF(U52&lt;&gt;"","Pago",IF(T52&lt;&gt;"","Enviado para pagamento",IF(N52&lt;&gt;"","Pedido Recepcionado",IF(M52&lt;&gt;"","Pedido Concluído",IF(L52&lt;&gt;"","RC Criada","Lançar Pgto")))))</f>
        <v/>
      </c>
      <c r="B52" t="inlineStr">
        <is>
          <t>RDB - DIV</t>
        </is>
      </c>
      <c r="C52" t="inlineStr">
        <is>
          <t>Consumidor</t>
        </is>
      </c>
      <c r="D52" t="inlineStr">
        <is>
          <t>Interno</t>
        </is>
      </c>
      <c r="E52" t="n">
        <v>1051</v>
      </c>
      <c r="F52" t="inlineStr">
        <is>
          <t>Juros e correção</t>
        </is>
      </c>
      <c r="G52" t="n">
        <v>771.47</v>
      </c>
      <c r="H52" t="inlineStr">
        <is>
          <t>Março</t>
        </is>
      </c>
      <c r="I52" t="inlineStr">
        <is>
          <t>27.04.2024</t>
        </is>
      </c>
      <c r="J52" t="inlineStr">
        <is>
          <t>Variável pontual</t>
        </is>
      </c>
      <c r="K52" t="inlineStr">
        <is>
          <t>Juros e correção Consumidor março</t>
        </is>
      </c>
      <c r="L52" t="n">
        <v>25001051</v>
      </c>
      <c r="M52" t="n">
        <v>4500001051</v>
      </c>
      <c r="N52" t="n">
        <v>180001051</v>
      </c>
      <c r="O52" t="n">
        <v>10</v>
      </c>
      <c r="P52" t="inlineStr">
        <is>
          <t xml:space="preserve">1301051 </t>
        </is>
      </c>
      <c r="Q52" t="inlineStr">
        <is>
          <t>OUTRA ÁREA</t>
        </is>
      </c>
      <c r="R52" t="inlineStr">
        <is>
          <t xml:space="preserve"> GI52000</t>
        </is>
      </c>
      <c r="S52" t="n">
        <v>622600</v>
      </c>
      <c r="T52" t="inlineStr">
        <is>
          <t>10.03.2024</t>
        </is>
      </c>
      <c r="U52" t="n">
        <v>211401051</v>
      </c>
    </row>
    <row r="53">
      <c r="A53">
        <f>IF(U53&lt;&gt;"","Pago",IF(T53&lt;&gt;"","Enviado para pagamento",IF(N53&lt;&gt;"","Pedido Recepcionado",IF(M53&lt;&gt;"","Pedido Concluído",IF(L53&lt;&gt;"","RC Criada","Lançar Pgto")))))</f>
        <v/>
      </c>
      <c r="B53" t="inlineStr">
        <is>
          <t>RDB - CONS</t>
        </is>
      </c>
      <c r="C53" t="inlineStr">
        <is>
          <t>Consumidor</t>
        </is>
      </c>
      <c r="D53" t="inlineStr">
        <is>
          <t>ADIANTAMENTO</t>
        </is>
      </c>
      <c r="E53" t="n">
        <v>1052</v>
      </c>
      <c r="F53" t="inlineStr">
        <is>
          <t>Honorários</t>
        </is>
      </c>
      <c r="G53" t="n">
        <v>30000</v>
      </c>
      <c r="H53" t="inlineStr">
        <is>
          <t>Abril</t>
        </is>
      </c>
      <c r="I53" t="inlineStr">
        <is>
          <t>19.05.2024</t>
        </is>
      </c>
      <c r="J53" t="inlineStr">
        <is>
          <t>Fixo</t>
        </is>
      </c>
      <c r="K53" t="inlineStr">
        <is>
          <t>Honorários Consumidor abril</t>
        </is>
      </c>
      <c r="L53" t="n">
        <v>25001052</v>
      </c>
      <c r="M53" t="n">
        <v>4500001052</v>
      </c>
      <c r="N53" t="n">
        <v>180001052</v>
      </c>
      <c r="O53" t="n">
        <v>10</v>
      </c>
      <c r="P53" t="inlineStr">
        <is>
          <t xml:space="preserve">1301052 </t>
        </is>
      </c>
      <c r="Q53" t="inlineStr">
        <is>
          <t>HONORÁRIOS E DESPESAS</t>
        </is>
      </c>
      <c r="R53" t="inlineStr">
        <is>
          <t>GI52015</t>
        </is>
      </c>
      <c r="S53" t="n">
        <v>622600</v>
      </c>
    </row>
    <row r="54">
      <c r="A54">
        <f>IF(U54&lt;&gt;"","Pago",IF(T54&lt;&gt;"","Enviado para pagamento",IF(N54&lt;&gt;"","Pedido Recepcionado",IF(M54&lt;&gt;"","Pedido Concluído",IF(L54&lt;&gt;"","RC Criada","Lançar Pgto")))))</f>
        <v/>
      </c>
      <c r="B54" t="inlineStr">
        <is>
          <t>RDB - CONS</t>
        </is>
      </c>
      <c r="C54" t="inlineStr">
        <is>
          <t>Consumidor</t>
        </is>
      </c>
      <c r="D54" t="inlineStr">
        <is>
          <t>Interno</t>
        </is>
      </c>
      <c r="E54" t="n">
        <v>1053</v>
      </c>
      <c r="F54" t="inlineStr">
        <is>
          <t>Condenação</t>
        </is>
      </c>
      <c r="G54" t="n">
        <v>52193.05</v>
      </c>
      <c r="H54" t="inlineStr">
        <is>
          <t>Abril</t>
        </is>
      </c>
      <c r="I54" t="inlineStr">
        <is>
          <t>12.05.2024</t>
        </is>
      </c>
      <c r="J54" t="inlineStr">
        <is>
          <t>Variável pontual</t>
        </is>
      </c>
      <c r="K54" t="inlineStr">
        <is>
          <t>Condenação Consumidor abril</t>
        </is>
      </c>
      <c r="L54" t="n">
        <v>25001053</v>
      </c>
      <c r="M54" t="n">
        <v>4500001053</v>
      </c>
      <c r="N54" t="n">
        <v>180001053</v>
      </c>
      <c r="O54" t="n">
        <v>10</v>
      </c>
      <c r="P54" t="inlineStr">
        <is>
          <t xml:space="preserve">1301053 </t>
        </is>
      </c>
      <c r="Q54" t="inlineStr">
        <is>
          <t>CORPORATE</t>
        </is>
      </c>
      <c r="R54" t="inlineStr">
        <is>
          <t>GI52015</t>
        </is>
      </c>
      <c r="S54" t="n">
        <v>622600</v>
      </c>
    </row>
    <row r="55">
      <c r="A55">
        <f>IF(U55&lt;&gt;"","Pago",IF(T55&lt;&gt;"","Enviado para pagamento",IF(N55&lt;&gt;"","Pedido Recepcionado",IF(M55&lt;&gt;"","Pedido Concluído",IF(L55&lt;&gt;"","RC Criada","Lançar Pgto")))))</f>
        <v/>
      </c>
      <c r="B55" t="inlineStr">
        <is>
          <t>RDB - CONS</t>
        </is>
      </c>
      <c r="C55" t="inlineStr">
        <is>
          <t>Consumidor</t>
        </is>
      </c>
      <c r="D55" t="inlineStr">
        <is>
          <t>Interno</t>
        </is>
      </c>
      <c r="E55" t="n">
        <v>1054</v>
      </c>
      <c r="F55" t="inlineStr">
        <is>
          <t>Acordo</t>
        </is>
      </c>
      <c r="G55" t="n">
        <v>10678.55</v>
      </c>
      <c r="H55" t="inlineStr">
        <is>
          <t>Abril</t>
        </is>
      </c>
      <c r="I55" t="inlineStr">
        <is>
          <t>23.05.2024</t>
        </is>
      </c>
      <c r="J55" t="inlineStr">
        <is>
          <t>Variável pontual</t>
        </is>
      </c>
      <c r="K55" t="inlineStr">
        <is>
          <t>Acordo Consumidor abril</t>
        </is>
      </c>
      <c r="L55" t="n">
        <v>25001054</v>
      </c>
      <c r="M55" t="n">
        <v>4500001054</v>
      </c>
      <c r="O55" t="n">
        <v>10</v>
      </c>
      <c r="P55" t="inlineStr">
        <is>
          <t xml:space="preserve">1301054 </t>
        </is>
      </c>
      <c r="Q55" t="inlineStr">
        <is>
          <t>ACORDOS CONSUMIDOR</t>
        </is>
      </c>
      <c r="R55" t="inlineStr">
        <is>
          <t>GI52015</t>
        </is>
      </c>
      <c r="S55" t="n">
        <v>622600</v>
      </c>
    </row>
    <row r="56">
      <c r="A56">
        <f>IF(U56&lt;&gt;"","Pago",IF(T56&lt;&gt;"","Enviado para pagamento",IF(N56&lt;&gt;"","Pedido Recepcionado",IF(M56&lt;&gt;"","Pedido Concluído",IF(L56&lt;&gt;"","RC Criada","Lançar Pgto")))))</f>
        <v/>
      </c>
      <c r="B56" t="inlineStr">
        <is>
          <t>RDB - CONS</t>
        </is>
      </c>
      <c r="C56" t="inlineStr">
        <is>
          <t>Acordo Projeto SAC</t>
        </is>
      </c>
      <c r="D56" t="inlineStr">
        <is>
          <t>Interno</t>
        </is>
      </c>
      <c r="E56" t="n">
        <v>1055</v>
      </c>
      <c r="F56" t="inlineStr">
        <is>
          <t>Acordo</t>
        </is>
      </c>
      <c r="G56" t="n">
        <v>8172.55</v>
      </c>
      <c r="H56" t="inlineStr">
        <is>
          <t>Abril</t>
        </is>
      </c>
      <c r="I56" t="inlineStr">
        <is>
          <t>05.05.2024</t>
        </is>
      </c>
      <c r="J56" t="inlineStr">
        <is>
          <t>Variável pontual</t>
        </is>
      </c>
      <c r="K56" t="inlineStr">
        <is>
          <t>Acordo Acordo Projeto SAC abril</t>
        </is>
      </c>
      <c r="L56" t="n">
        <v>25001055</v>
      </c>
      <c r="M56" t="n">
        <v>4500001055</v>
      </c>
      <c r="N56" t="n">
        <v>180001055</v>
      </c>
      <c r="O56" t="n">
        <v>10</v>
      </c>
      <c r="P56" t="inlineStr">
        <is>
          <t xml:space="preserve">1301055 </t>
        </is>
      </c>
      <c r="Q56" t="inlineStr">
        <is>
          <t>ACORDOS SAC</t>
        </is>
      </c>
      <c r="R56" t="inlineStr">
        <is>
          <t>GI52015</t>
        </is>
      </c>
      <c r="S56" t="n">
        <v>622600</v>
      </c>
      <c r="T56" t="inlineStr">
        <is>
          <t>03.04.2024</t>
        </is>
      </c>
    </row>
    <row r="57">
      <c r="A57">
        <f>IF(U57&lt;&gt;"","Pago",IF(T57&lt;&gt;"","Enviado para pagamento",IF(N57&lt;&gt;"","Pedido Recepcionado",IF(M57&lt;&gt;"","Pedido Concluído",IF(L57&lt;&gt;"","RC Criada","Lançar Pgto")))))</f>
        <v/>
      </c>
      <c r="B57" t="inlineStr">
        <is>
          <t>RDB - DIV</t>
        </is>
      </c>
      <c r="C57" t="inlineStr">
        <is>
          <t>Cível</t>
        </is>
      </c>
      <c r="D57" t="inlineStr">
        <is>
          <t>Interno</t>
        </is>
      </c>
      <c r="E57" t="n">
        <v>1056</v>
      </c>
      <c r="F57" t="inlineStr">
        <is>
          <t>Honorários</t>
        </is>
      </c>
      <c r="G57" t="n">
        <v>6400</v>
      </c>
      <c r="H57" t="inlineStr">
        <is>
          <t>Abril</t>
        </is>
      </c>
      <c r="I57" t="inlineStr">
        <is>
          <t>12.05.2024</t>
        </is>
      </c>
      <c r="J57" t="inlineStr">
        <is>
          <t>Fixo</t>
        </is>
      </c>
      <c r="K57" t="inlineStr">
        <is>
          <t>Honorários Cível abril</t>
        </is>
      </c>
      <c r="L57" t="n">
        <v>25001056</v>
      </c>
      <c r="M57" t="n">
        <v>4500001056</v>
      </c>
      <c r="N57" t="n">
        <v>180001056</v>
      </c>
      <c r="O57" t="n">
        <v>10</v>
      </c>
      <c r="P57" t="inlineStr">
        <is>
          <t xml:space="preserve">1301056 </t>
        </is>
      </c>
      <c r="Q57" t="inlineStr">
        <is>
          <t>HONORÁRIOS E DESPESAS</t>
        </is>
      </c>
      <c r="R57" t="inlineStr">
        <is>
          <t>GI52015</t>
        </is>
      </c>
      <c r="S57" t="n">
        <v>622600</v>
      </c>
      <c r="T57" t="inlineStr">
        <is>
          <t>03.04.2024</t>
        </is>
      </c>
      <c r="U57" t="n">
        <v>211401056</v>
      </c>
    </row>
    <row r="58">
      <c r="A58">
        <f>IF(U58&lt;&gt;"","Pago",IF(T58&lt;&gt;"","Enviado para pagamento",IF(N58&lt;&gt;"","Pedido Recepcionado",IF(M58&lt;&gt;"","Pedido Concluído",IF(L58&lt;&gt;"","RC Criada","Lançar Pgto")))))</f>
        <v/>
      </c>
      <c r="B58" t="inlineStr">
        <is>
          <t>RDB - DIV</t>
        </is>
      </c>
      <c r="C58" t="inlineStr">
        <is>
          <t>Cível</t>
        </is>
      </c>
      <c r="D58" t="inlineStr">
        <is>
          <t>Interno</t>
        </is>
      </c>
      <c r="E58" t="n">
        <v>1057</v>
      </c>
      <c r="F58" t="inlineStr">
        <is>
          <t>Custas</t>
        </is>
      </c>
      <c r="G58" t="n">
        <v>1045.95</v>
      </c>
      <c r="H58" t="inlineStr">
        <is>
          <t>Abril</t>
        </is>
      </c>
      <c r="I58" t="inlineStr">
        <is>
          <t>21.05.2024</t>
        </is>
      </c>
      <c r="J58" t="inlineStr">
        <is>
          <t>Variável pontual</t>
        </is>
      </c>
      <c r="K58" t="inlineStr">
        <is>
          <t>Custas Cível abril</t>
        </is>
      </c>
      <c r="L58" t="n">
        <v>25001057</v>
      </c>
      <c r="M58" t="n">
        <v>4500001057</v>
      </c>
      <c r="O58" t="n">
        <v>10</v>
      </c>
      <c r="P58" t="inlineStr">
        <is>
          <t xml:space="preserve">1301057 </t>
        </is>
      </c>
      <c r="Q58" t="inlineStr">
        <is>
          <t>HONORÁRIOS E DESPESAS</t>
        </is>
      </c>
      <c r="R58" t="inlineStr">
        <is>
          <t>GI52015</t>
        </is>
      </c>
      <c r="S58" t="n">
        <v>622600</v>
      </c>
    </row>
    <row r="59">
      <c r="A59">
        <f>IF(U59&lt;&gt;"","Pago",IF(T59&lt;&gt;"","Enviado para pagamento",IF(N59&lt;&gt;"","Pedido Recepcionado",IF(M59&lt;&gt;"","Pedido Concluído",IF(L59&lt;&gt;"","RC Criada","Lançar Pgto")))))</f>
        <v/>
      </c>
      <c r="B59" t="inlineStr">
        <is>
          <t>RDB - TRAB CVP</t>
        </is>
      </c>
      <c r="C59" t="inlineStr">
        <is>
          <t>Trabalhista</t>
        </is>
      </c>
      <c r="D59" t="inlineStr">
        <is>
          <t>ADIANTAMENTO</t>
        </is>
      </c>
      <c r="E59" t="n">
        <v>1058</v>
      </c>
      <c r="F59" t="inlineStr">
        <is>
          <t>Condenação</t>
        </is>
      </c>
      <c r="G59" t="n">
        <v>22380.05</v>
      </c>
      <c r="H59" t="inlineStr">
        <is>
          <t>Abril</t>
        </is>
      </c>
      <c r="I59" t="inlineStr">
        <is>
          <t>11.05.2024</t>
        </is>
      </c>
      <c r="J59" t="inlineStr">
        <is>
          <t>Variável pontual</t>
        </is>
      </c>
      <c r="K59" t="inlineStr">
        <is>
          <t>Condenação Trabalhista abril</t>
        </is>
      </c>
      <c r="L59" t="n">
        <v>25001058</v>
      </c>
      <c r="M59" t="n">
        <v>4500001058</v>
      </c>
      <c r="N59" t="n">
        <v>180001058</v>
      </c>
      <c r="O59" t="n">
        <v>10</v>
      </c>
      <c r="P59" t="inlineStr">
        <is>
          <t xml:space="preserve">1301058 </t>
        </is>
      </c>
      <c r="Q59" t="inlineStr">
        <is>
          <t>TRABALHISTA GERAL</t>
        </is>
      </c>
      <c r="R59" t="inlineStr">
        <is>
          <t>GI52015</t>
        </is>
      </c>
      <c r="S59" t="n">
        <v>622600</v>
      </c>
      <c r="T59" t="inlineStr">
        <is>
          <t>18.04.2024</t>
        </is>
      </c>
      <c r="U59" t="n">
        <v>211401058</v>
      </c>
    </row>
    <row r="60">
      <c r="A60">
        <f>IF(U60&lt;&gt;"","Pago",IF(T60&lt;&gt;"","Enviado para pagamento",IF(N60&lt;&gt;"","Pedido Recepcionado",IF(M60&lt;&gt;"","Pedido Concluído",IF(L60&lt;&gt;"","RC Criada","Lançar Pgto")))))</f>
        <v/>
      </c>
      <c r="B60" t="inlineStr">
        <is>
          <t>RDB - TRAB CVP</t>
        </is>
      </c>
      <c r="C60" t="inlineStr">
        <is>
          <t>Trabalhista</t>
        </is>
      </c>
      <c r="D60" t="inlineStr">
        <is>
          <t>ADIANTAMENTO</t>
        </is>
      </c>
      <c r="E60" t="n">
        <v>1059</v>
      </c>
      <c r="F60" t="inlineStr">
        <is>
          <t>acordo</t>
        </is>
      </c>
      <c r="G60" t="n">
        <v>12793.87</v>
      </c>
      <c r="H60" t="inlineStr">
        <is>
          <t>Abril</t>
        </is>
      </c>
      <c r="I60" t="inlineStr">
        <is>
          <t>12.05.2024</t>
        </is>
      </c>
      <c r="J60" t="inlineStr">
        <is>
          <t>variável pontual</t>
        </is>
      </c>
      <c r="K60" t="inlineStr">
        <is>
          <t>acordo Trabalhista abril</t>
        </is>
      </c>
      <c r="L60" t="n">
        <v>25001059</v>
      </c>
      <c r="M60" t="n">
        <v>4500001059</v>
      </c>
      <c r="N60" t="n">
        <v>180001059</v>
      </c>
      <c r="O60" t="n">
        <v>10</v>
      </c>
      <c r="P60" t="inlineStr">
        <is>
          <t xml:space="preserve">1301059 </t>
        </is>
      </c>
      <c r="Q60" t="inlineStr">
        <is>
          <t>TRABALHISTA GERAL</t>
        </is>
      </c>
      <c r="R60" t="inlineStr">
        <is>
          <t>GI52015</t>
        </is>
      </c>
      <c r="S60" t="n">
        <v>622600</v>
      </c>
      <c r="T60" t="inlineStr">
        <is>
          <t>26.04.2024</t>
        </is>
      </c>
    </row>
    <row r="61">
      <c r="A61">
        <f>IF(U61&lt;&gt;"","Pago",IF(T61&lt;&gt;"","Enviado para pagamento",IF(N61&lt;&gt;"","Pedido Recepcionado",IF(M61&lt;&gt;"","Pedido Concluído",IF(L61&lt;&gt;"","RC Criada","Lançar Pgto")))))</f>
        <v/>
      </c>
      <c r="B61" t="inlineStr">
        <is>
          <t>RDB - TRAB SUPORTE</t>
        </is>
      </c>
      <c r="C61" t="inlineStr">
        <is>
          <t>Trabalhista</t>
        </is>
      </c>
      <c r="D61" t="inlineStr">
        <is>
          <t>Interno</t>
        </is>
      </c>
      <c r="E61" t="n">
        <v>1060</v>
      </c>
      <c r="F61" t="inlineStr">
        <is>
          <t>Acordo</t>
        </is>
      </c>
      <c r="G61" t="n">
        <v>8902.700000000001</v>
      </c>
      <c r="H61" t="inlineStr">
        <is>
          <t>Abril</t>
        </is>
      </c>
      <c r="I61" t="inlineStr">
        <is>
          <t>08.05.2024</t>
        </is>
      </c>
      <c r="J61" t="inlineStr">
        <is>
          <t>Variável pontual</t>
        </is>
      </c>
      <c r="K61" t="inlineStr">
        <is>
          <t>Acordo Trabalhista abril</t>
        </is>
      </c>
      <c r="L61" t="n">
        <v>25001060</v>
      </c>
      <c r="M61" t="n">
        <v>4500001060</v>
      </c>
      <c r="N61" t="n">
        <v>180001060</v>
      </c>
      <c r="O61" t="n">
        <v>10</v>
      </c>
      <c r="P61" t="inlineStr">
        <is>
          <t xml:space="preserve">1301060 </t>
        </is>
      </c>
      <c r="Q61" t="inlineStr">
        <is>
          <t>TRABALHISTA ACORDOS</t>
        </is>
      </c>
      <c r="R61" t="inlineStr">
        <is>
          <t>GI52015</t>
        </is>
      </c>
      <c r="S61" t="n">
        <v>622600</v>
      </c>
    </row>
    <row r="62">
      <c r="A62">
        <f>IF(U62&lt;&gt;"","Pago",IF(T62&lt;&gt;"","Enviado para pagamento",IF(N62&lt;&gt;"","Pedido Recepcionado",IF(M62&lt;&gt;"","Pedido Concluído",IF(L62&lt;&gt;"","RC Criada","Lançar Pgto")))))</f>
        <v/>
      </c>
      <c r="B62" t="inlineStr">
        <is>
          <t>RDB - TRAB PIF</t>
        </is>
      </c>
      <c r="C62" t="inlineStr">
        <is>
          <t>Trabalhista</t>
        </is>
      </c>
      <c r="D62" t="inlineStr">
        <is>
          <t>ADIANTAMENTO</t>
        </is>
      </c>
      <c r="E62" t="n">
        <v>1061</v>
      </c>
      <c r="F62" t="inlineStr">
        <is>
          <t>Acordo</t>
        </is>
      </c>
      <c r="G62" t="n">
        <v>16775.45</v>
      </c>
      <c r="H62" t="inlineStr">
        <is>
          <t>Abril</t>
        </is>
      </c>
      <c r="I62" t="inlineStr">
        <is>
          <t>18.05.2024</t>
        </is>
      </c>
      <c r="J62" t="inlineStr">
        <is>
          <t>Variável pontual</t>
        </is>
      </c>
      <c r="K62" t="inlineStr">
        <is>
          <t>Acordo Trabalhista abril</t>
        </is>
      </c>
      <c r="L62" t="n">
        <v>25001061</v>
      </c>
      <c r="M62" t="n">
        <v>4500001061</v>
      </c>
      <c r="N62" t="n">
        <v>180001061</v>
      </c>
      <c r="O62" t="n">
        <v>10</v>
      </c>
      <c r="P62" t="inlineStr">
        <is>
          <t xml:space="preserve">1301061 </t>
        </is>
      </c>
      <c r="Q62" t="inlineStr">
        <is>
          <t>PIF/PDV</t>
        </is>
      </c>
      <c r="R62" t="inlineStr">
        <is>
          <t>GI52015</t>
        </is>
      </c>
      <c r="S62" t="n">
        <v>622600</v>
      </c>
    </row>
    <row r="63">
      <c r="A63">
        <f>IF(U63&lt;&gt;"","Pago",IF(T63&lt;&gt;"","Enviado para pagamento",IF(N63&lt;&gt;"","Pedido Recepcionado",IF(M63&lt;&gt;"","Pedido Concluído",IF(L63&lt;&gt;"","RC Criada","Lançar Pgto")))))</f>
        <v/>
      </c>
      <c r="B63" t="inlineStr">
        <is>
          <t>RDB - TRIB</t>
        </is>
      </c>
      <c r="C63" t="inlineStr">
        <is>
          <t>Tributário</t>
        </is>
      </c>
      <c r="D63" t="inlineStr">
        <is>
          <t>ADIANTAMENTO</t>
        </is>
      </c>
      <c r="E63" t="n">
        <v>1062</v>
      </c>
      <c r="F63" t="inlineStr">
        <is>
          <t>Honorários</t>
        </is>
      </c>
      <c r="G63" t="n">
        <v>17000</v>
      </c>
      <c r="H63" t="inlineStr">
        <is>
          <t>Abril</t>
        </is>
      </c>
      <c r="I63" t="inlineStr">
        <is>
          <t>28.05.2024</t>
        </is>
      </c>
      <c r="J63" t="inlineStr">
        <is>
          <t>Fixo</t>
        </is>
      </c>
      <c r="K63" t="inlineStr">
        <is>
          <t>Honorários Tributário abril</t>
        </is>
      </c>
      <c r="L63" t="n">
        <v>25001062</v>
      </c>
      <c r="M63" t="n">
        <v>4500001062</v>
      </c>
      <c r="N63" t="n">
        <v>180001062</v>
      </c>
      <c r="O63" t="n">
        <v>10</v>
      </c>
      <c r="P63" t="inlineStr">
        <is>
          <t xml:space="preserve">1301062 </t>
        </is>
      </c>
      <c r="Q63" t="inlineStr">
        <is>
          <t>HONORÁRIOS E DESPESAS</t>
        </is>
      </c>
      <c r="R63" t="inlineStr">
        <is>
          <t>GI52015</t>
        </is>
      </c>
      <c r="S63" t="n">
        <v>622600</v>
      </c>
    </row>
    <row r="64">
      <c r="A64">
        <f>IF(U64&lt;&gt;"","Pago",IF(T64&lt;&gt;"","Enviado para pagamento",IF(N64&lt;&gt;"","Pedido Recepcionado",IF(M64&lt;&gt;"","Pedido Concluído",IF(L64&lt;&gt;"","RC Criada","Lançar Pgto")))))</f>
        <v/>
      </c>
      <c r="B64" t="inlineStr">
        <is>
          <t>RDB - TRIB</t>
        </is>
      </c>
      <c r="C64" t="inlineStr">
        <is>
          <t>Tributário</t>
        </is>
      </c>
      <c r="D64" t="inlineStr">
        <is>
          <t>Interno</t>
        </is>
      </c>
      <c r="E64" t="n">
        <v>1063</v>
      </c>
      <c r="F64" t="inlineStr">
        <is>
          <t>Custas</t>
        </is>
      </c>
      <c r="G64" t="n">
        <v>2465.01</v>
      </c>
      <c r="H64" t="inlineStr">
        <is>
          <t>Abril</t>
        </is>
      </c>
      <c r="I64" t="inlineStr">
        <is>
          <t>06.05.2024</t>
        </is>
      </c>
      <c r="J64" t="inlineStr">
        <is>
          <t>Variável pontual</t>
        </is>
      </c>
      <c r="K64" t="inlineStr">
        <is>
          <t>Custas Tributário abril</t>
        </is>
      </c>
      <c r="L64" t="n">
        <v>25001063</v>
      </c>
      <c r="M64" t="n">
        <v>4500001063</v>
      </c>
      <c r="N64" t="n">
        <v>180001063</v>
      </c>
      <c r="O64" t="n">
        <v>10</v>
      </c>
      <c r="P64" t="inlineStr">
        <is>
          <t xml:space="preserve">1301063 </t>
        </is>
      </c>
      <c r="Q64" t="inlineStr">
        <is>
          <t>CORPORATE</t>
        </is>
      </c>
      <c r="R64" t="inlineStr">
        <is>
          <t>GI52015</t>
        </is>
      </c>
      <c r="S64" t="n">
        <v>622600</v>
      </c>
      <c r="T64" t="inlineStr">
        <is>
          <t>13.04.2024</t>
        </is>
      </c>
      <c r="U64" t="n">
        <v>211401063</v>
      </c>
    </row>
    <row r="65">
      <c r="A65">
        <f>IF(U65&lt;&gt;"","Pago",IF(T65&lt;&gt;"","Enviado para pagamento",IF(N65&lt;&gt;"","Pedido Recepcionado",IF(M65&lt;&gt;"","Pedido Concluído",IF(L65&lt;&gt;"","RC Criada","Lançar Pgto")))))</f>
        <v/>
      </c>
      <c r="B65" t="inlineStr">
        <is>
          <t>RDB - DIV</t>
        </is>
      </c>
      <c r="C65" t="inlineStr">
        <is>
          <t xml:space="preserve">LGPD </t>
        </is>
      </c>
      <c r="D65" t="inlineStr">
        <is>
          <t>ADIANTAMENTO</t>
        </is>
      </c>
      <c r="E65" t="n">
        <v>1064</v>
      </c>
      <c r="F65" t="inlineStr">
        <is>
          <t>Honorários</t>
        </is>
      </c>
      <c r="G65" t="n">
        <v>12000</v>
      </c>
      <c r="H65" t="inlineStr">
        <is>
          <t>Abril</t>
        </is>
      </c>
      <c r="I65" t="inlineStr">
        <is>
          <t>08.05.2024</t>
        </is>
      </c>
      <c r="J65" t="inlineStr">
        <is>
          <t>Fixo</t>
        </is>
      </c>
      <c r="K65" t="inlineStr">
        <is>
          <t>Honorários LGPD abril</t>
        </is>
      </c>
      <c r="L65" t="n">
        <v>25001064</v>
      </c>
      <c r="M65" t="n">
        <v>4500001064</v>
      </c>
      <c r="N65" t="n">
        <v>180001064</v>
      </c>
      <c r="O65" t="n">
        <v>10</v>
      </c>
      <c r="P65" t="inlineStr">
        <is>
          <t xml:space="preserve">1301064 </t>
        </is>
      </c>
      <c r="Q65" t="inlineStr">
        <is>
          <t>LGPD GERAL &amp; TERCEIROS</t>
        </is>
      </c>
      <c r="R65" t="inlineStr">
        <is>
          <t>GI52015</t>
        </is>
      </c>
      <c r="S65" t="n">
        <v>622600</v>
      </c>
      <c r="T65" t="inlineStr">
        <is>
          <t>08.04.2024</t>
        </is>
      </c>
      <c r="U65" t="n">
        <v>211401064</v>
      </c>
    </row>
    <row r="66">
      <c r="A66">
        <f>IF(U66&lt;&gt;"","Pago",IF(T66&lt;&gt;"","Enviado para pagamento",IF(N66&lt;&gt;"","Pedido Recepcionado",IF(M66&lt;&gt;"","Pedido Concluído",IF(L66&lt;&gt;"","RC Criada","Lançar Pgto")))))</f>
        <v/>
      </c>
      <c r="B66" t="inlineStr">
        <is>
          <t>RDB - DIV</t>
        </is>
      </c>
      <c r="C66" t="inlineStr">
        <is>
          <t xml:space="preserve">LGPD </t>
        </is>
      </c>
      <c r="D66" t="inlineStr">
        <is>
          <t>ADIANTAMENTO</t>
        </is>
      </c>
      <c r="E66" t="n">
        <v>1065</v>
      </c>
      <c r="F66" t="inlineStr">
        <is>
          <t xml:space="preserve">LGPD </t>
        </is>
      </c>
      <c r="G66" t="n">
        <v>2191.59</v>
      </c>
      <c r="H66" t="inlineStr">
        <is>
          <t>Abril</t>
        </is>
      </c>
      <c r="I66" t="inlineStr">
        <is>
          <t>09.05.2024</t>
        </is>
      </c>
      <c r="J66" t="inlineStr">
        <is>
          <t>Variável pontual</t>
        </is>
      </c>
      <c r="K66" t="inlineStr">
        <is>
          <t>LGPD LGPD abril</t>
        </is>
      </c>
      <c r="L66" t="n">
        <v>25001065</v>
      </c>
      <c r="M66" t="n">
        <v>4500001065</v>
      </c>
      <c r="N66" t="n">
        <v>180001065</v>
      </c>
      <c r="O66" t="n">
        <v>10</v>
      </c>
      <c r="P66" t="inlineStr">
        <is>
          <t xml:space="preserve">1301065 </t>
        </is>
      </c>
      <c r="Q66" t="inlineStr">
        <is>
          <t>LGPD GERAL &amp; TERCEIROS</t>
        </is>
      </c>
      <c r="R66" t="inlineStr">
        <is>
          <t>GI52015</t>
        </is>
      </c>
      <c r="S66" t="n">
        <v>622600</v>
      </c>
      <c r="T66" t="inlineStr">
        <is>
          <t>14.04.2024</t>
        </is>
      </c>
    </row>
    <row r="67">
      <c r="A67">
        <f>IF(U67&lt;&gt;"","Pago",IF(T67&lt;&gt;"","Enviado para pagamento",IF(N67&lt;&gt;"","Pedido Recepcionado",IF(M67&lt;&gt;"","Pedido Concluído",IF(L67&lt;&gt;"","RC Criada","Lançar Pgto")))))</f>
        <v/>
      </c>
      <c r="B67" t="inlineStr">
        <is>
          <t>RDB - DIV</t>
        </is>
      </c>
      <c r="C67" t="inlineStr">
        <is>
          <t>Cartório</t>
        </is>
      </c>
      <c r="D67" t="inlineStr">
        <is>
          <t>Interno</t>
        </is>
      </c>
      <c r="E67" t="n">
        <v>1066</v>
      </c>
      <c r="F67" t="inlineStr">
        <is>
          <t>Despesas</t>
        </is>
      </c>
      <c r="G67" t="n">
        <v>1310.09</v>
      </c>
      <c r="H67" t="inlineStr">
        <is>
          <t>Abril</t>
        </is>
      </c>
      <c r="I67" t="inlineStr">
        <is>
          <t>07.05.2024</t>
        </is>
      </c>
      <c r="J67" t="inlineStr">
        <is>
          <t xml:space="preserve">Fixo valor variável </t>
        </is>
      </c>
      <c r="K67" t="inlineStr">
        <is>
          <t>Despesas Cartório abril</t>
        </is>
      </c>
      <c r="L67" t="n">
        <v>25001066</v>
      </c>
      <c r="M67" t="n">
        <v>4500001066</v>
      </c>
      <c r="N67" t="n">
        <v>180001066</v>
      </c>
      <c r="O67" t="n">
        <v>10</v>
      </c>
      <c r="P67" t="inlineStr">
        <is>
          <t xml:space="preserve">1301066 </t>
        </is>
      </c>
      <c r="Q67" t="inlineStr">
        <is>
          <t>CARTÓRIO</t>
        </is>
      </c>
      <c r="R67" t="inlineStr">
        <is>
          <t>GI52015</t>
        </is>
      </c>
      <c r="S67" t="n">
        <v>622600</v>
      </c>
    </row>
    <row r="68">
      <c r="A68">
        <f>IF(U68&lt;&gt;"","Pago",IF(T68&lt;&gt;"","Enviado para pagamento",IF(N68&lt;&gt;"","Pedido Recepcionado",IF(M68&lt;&gt;"","Pedido Concluído",IF(L68&lt;&gt;"","RC Criada","Lançar Pgto")))))</f>
        <v/>
      </c>
      <c r="B68" t="inlineStr">
        <is>
          <t>RDB - DIV</t>
        </is>
      </c>
      <c r="C68" t="inlineStr">
        <is>
          <t>Projuris SUPRAMONTE</t>
        </is>
      </c>
      <c r="D68" t="inlineStr">
        <is>
          <t>Interno</t>
        </is>
      </c>
      <c r="E68" t="n">
        <v>1067</v>
      </c>
      <c r="F68" t="inlineStr">
        <is>
          <t>Projuris</t>
        </is>
      </c>
      <c r="G68" t="n">
        <v>2068.72</v>
      </c>
      <c r="H68" t="inlineStr">
        <is>
          <t>Abril</t>
        </is>
      </c>
      <c r="I68" t="inlineStr">
        <is>
          <t>06.05.2024</t>
        </is>
      </c>
      <c r="J68" t="inlineStr">
        <is>
          <t>Fixo</t>
        </is>
      </c>
      <c r="K68" t="inlineStr">
        <is>
          <t>Projuris Projuris SUPRAMONTE abril</t>
        </is>
      </c>
      <c r="L68" t="n">
        <v>25001067</v>
      </c>
      <c r="M68" t="n">
        <v>4500001067</v>
      </c>
      <c r="N68" t="n">
        <v>180001067</v>
      </c>
      <c r="O68" t="n">
        <v>10</v>
      </c>
      <c r="P68" t="inlineStr">
        <is>
          <t xml:space="preserve">1301067 </t>
        </is>
      </c>
      <c r="Q68" t="inlineStr">
        <is>
          <t>SISTEMAS</t>
        </is>
      </c>
      <c r="R68" t="inlineStr">
        <is>
          <t>GI52015</t>
        </is>
      </c>
      <c r="S68" t="n">
        <v>622600</v>
      </c>
    </row>
    <row r="69">
      <c r="A69">
        <f>IF(U69&lt;&gt;"","Pago",IF(T69&lt;&gt;"","Enviado para pagamento",IF(N69&lt;&gt;"","Pedido Recepcionado",IF(M69&lt;&gt;"","Pedido Concluído",IF(L69&lt;&gt;"","RC Criada","Lançar Pgto")))))</f>
        <v/>
      </c>
      <c r="B69" t="inlineStr">
        <is>
          <t>RDB - DIV</t>
        </is>
      </c>
      <c r="C69" t="inlineStr">
        <is>
          <t>Consumidor</t>
        </is>
      </c>
      <c r="D69" t="inlineStr">
        <is>
          <t>Interno</t>
        </is>
      </c>
      <c r="E69" t="n">
        <v>1068</v>
      </c>
      <c r="F69" t="inlineStr">
        <is>
          <t>Juros e correção</t>
        </is>
      </c>
      <c r="G69" t="n">
        <v>742.6</v>
      </c>
      <c r="H69" t="inlineStr">
        <is>
          <t>Abril</t>
        </is>
      </c>
      <c r="I69" t="inlineStr">
        <is>
          <t>07.05.2024</t>
        </is>
      </c>
      <c r="J69" t="inlineStr">
        <is>
          <t>Variável pontual</t>
        </is>
      </c>
      <c r="K69" t="inlineStr">
        <is>
          <t>Juros e correção Consumidor abril</t>
        </is>
      </c>
      <c r="L69" t="n">
        <v>25001068</v>
      </c>
      <c r="M69" t="n">
        <v>4500001068</v>
      </c>
      <c r="N69" t="n">
        <v>180001068</v>
      </c>
      <c r="O69" t="n">
        <v>10</v>
      </c>
      <c r="P69" t="inlineStr">
        <is>
          <t xml:space="preserve">1301068 </t>
        </is>
      </c>
      <c r="Q69" t="inlineStr">
        <is>
          <t>OUTRA ÁREA</t>
        </is>
      </c>
      <c r="R69" t="inlineStr">
        <is>
          <t>GI52015</t>
        </is>
      </c>
      <c r="S69" t="n">
        <v>622600</v>
      </c>
      <c r="T69" t="inlineStr">
        <is>
          <t>25.04.2024</t>
        </is>
      </c>
    </row>
    <row r="70">
      <c r="A70">
        <f>IF(U70&lt;&gt;"","Pago",IF(T70&lt;&gt;"","Enviado para pagamento",IF(N70&lt;&gt;"","Pedido Recepcionado",IF(M70&lt;&gt;"","Pedido Concluído",IF(L70&lt;&gt;"","RC Criada","Lançar Pgto")))))</f>
        <v/>
      </c>
      <c r="B70" t="inlineStr">
        <is>
          <t>RDB - CONS</t>
        </is>
      </c>
      <c r="C70" t="inlineStr">
        <is>
          <t>Consumidor</t>
        </is>
      </c>
      <c r="D70" t="inlineStr">
        <is>
          <t>Interno</t>
        </is>
      </c>
      <c r="E70" t="n">
        <v>1069</v>
      </c>
      <c r="F70" t="inlineStr">
        <is>
          <t>Honorários</t>
        </is>
      </c>
      <c r="G70" t="n">
        <v>30000</v>
      </c>
      <c r="H70" t="inlineStr">
        <is>
          <t>Maio</t>
        </is>
      </c>
      <c r="I70" t="inlineStr">
        <is>
          <t>18.06.2024</t>
        </is>
      </c>
      <c r="J70" t="inlineStr">
        <is>
          <t>Fixo</t>
        </is>
      </c>
      <c r="K70" t="inlineStr">
        <is>
          <t>Honorários Consumidor maio</t>
        </is>
      </c>
      <c r="L70" t="n">
        <v>25001069</v>
      </c>
      <c r="O70" t="n">
        <v>10</v>
      </c>
      <c r="P70" t="inlineStr">
        <is>
          <t xml:space="preserve">1301069 </t>
        </is>
      </c>
      <c r="Q70" t="inlineStr">
        <is>
          <t>HONORÁRIOS E DESPESAS</t>
        </is>
      </c>
      <c r="R70" t="inlineStr">
        <is>
          <t xml:space="preserve"> GI52000</t>
        </is>
      </c>
      <c r="S70" t="n">
        <v>622600</v>
      </c>
    </row>
    <row r="71">
      <c r="A71">
        <f>IF(U71&lt;&gt;"","Pago",IF(T71&lt;&gt;"","Enviado para pagamento",IF(N71&lt;&gt;"","Pedido Recepcionado",IF(M71&lt;&gt;"","Pedido Concluído",IF(L71&lt;&gt;"","RC Criada","Lançar Pgto")))))</f>
        <v/>
      </c>
      <c r="B71" t="inlineStr">
        <is>
          <t>RDB - CONS</t>
        </is>
      </c>
      <c r="C71" t="inlineStr">
        <is>
          <t>Consumidor</t>
        </is>
      </c>
      <c r="D71" t="inlineStr">
        <is>
          <t>ADIANTAMENTO</t>
        </is>
      </c>
      <c r="E71" t="n">
        <v>1070</v>
      </c>
      <c r="F71" t="inlineStr">
        <is>
          <t>Condenação</t>
        </is>
      </c>
      <c r="G71" t="n">
        <v>44741.54</v>
      </c>
      <c r="H71" t="inlineStr">
        <is>
          <t>Maio</t>
        </is>
      </c>
      <c r="I71" t="inlineStr">
        <is>
          <t>06.06.2024</t>
        </is>
      </c>
      <c r="J71" t="inlineStr">
        <is>
          <t>Variável pontual</t>
        </is>
      </c>
      <c r="K71" t="inlineStr">
        <is>
          <t>Condenação Consumidor maio</t>
        </is>
      </c>
      <c r="L71" t="n">
        <v>25001070</v>
      </c>
      <c r="O71" t="n">
        <v>10</v>
      </c>
      <c r="P71" t="inlineStr">
        <is>
          <t xml:space="preserve">1301070 </t>
        </is>
      </c>
      <c r="Q71" t="inlineStr">
        <is>
          <t>CORPORATE</t>
        </is>
      </c>
      <c r="R71" t="inlineStr">
        <is>
          <t xml:space="preserve"> GI52000</t>
        </is>
      </c>
      <c r="S71" t="n">
        <v>622600</v>
      </c>
    </row>
    <row r="72">
      <c r="A72">
        <f>IF(U72&lt;&gt;"","Pago",IF(T72&lt;&gt;"","Enviado para pagamento",IF(N72&lt;&gt;"","Pedido Recepcionado",IF(M72&lt;&gt;"","Pedido Concluído",IF(L72&lt;&gt;"","RC Criada","Lançar Pgto")))))</f>
        <v/>
      </c>
      <c r="B72" t="inlineStr">
        <is>
          <t>RDB - CONS</t>
        </is>
      </c>
      <c r="C72" t="inlineStr">
        <is>
          <t>Consumidor</t>
        </is>
      </c>
      <c r="D72" t="inlineStr">
        <is>
          <t>ADIANTAMENTO</t>
        </is>
      </c>
      <c r="E72" t="n">
        <v>1071</v>
      </c>
      <c r="F72" t="inlineStr">
        <is>
          <t>Acordo</t>
        </is>
      </c>
      <c r="G72" t="n">
        <v>10390.26</v>
      </c>
      <c r="H72" t="inlineStr">
        <is>
          <t>Maio</t>
        </is>
      </c>
      <c r="I72" t="inlineStr">
        <is>
          <t>13.06.2024</t>
        </is>
      </c>
      <c r="J72" t="inlineStr">
        <is>
          <t>Variável pontual</t>
        </is>
      </c>
      <c r="K72" t="inlineStr">
        <is>
          <t>Acordo Consumidor maio</t>
        </is>
      </c>
      <c r="O72" t="n">
        <v>10</v>
      </c>
      <c r="Q72" t="inlineStr">
        <is>
          <t>ACORDOS CONSUMIDOR</t>
        </is>
      </c>
      <c r="R72" t="inlineStr">
        <is>
          <t xml:space="preserve"> GI52000</t>
        </is>
      </c>
      <c r="S72" t="n">
        <v>622600</v>
      </c>
    </row>
    <row r="73">
      <c r="A73">
        <f>IF(U73&lt;&gt;"","Pago",IF(T73&lt;&gt;"","Enviado para pagamento",IF(N73&lt;&gt;"","Pedido Recepcionado",IF(M73&lt;&gt;"","Pedido Concluído",IF(L73&lt;&gt;"","RC Criada","Lançar Pgto")))))</f>
        <v/>
      </c>
      <c r="B73" t="inlineStr">
        <is>
          <t>RDB - CONS</t>
        </is>
      </c>
      <c r="C73" t="inlineStr">
        <is>
          <t>Acordo Projeto SAC</t>
        </is>
      </c>
      <c r="D73" t="inlineStr">
        <is>
          <t>ADIANTAMENTO</t>
        </is>
      </c>
      <c r="E73" t="n">
        <v>1072</v>
      </c>
      <c r="F73" t="inlineStr">
        <is>
          <t>Acordo</t>
        </is>
      </c>
      <c r="G73" t="n">
        <v>9364.860000000001</v>
      </c>
      <c r="H73" t="inlineStr">
        <is>
          <t>Maio</t>
        </is>
      </c>
      <c r="I73" t="inlineStr">
        <is>
          <t>18.06.2024</t>
        </is>
      </c>
      <c r="J73" t="inlineStr">
        <is>
          <t>Variável pontual</t>
        </is>
      </c>
      <c r="K73" t="inlineStr">
        <is>
          <t>Acordo Acordo Projeto SAC maio</t>
        </is>
      </c>
      <c r="L73" t="n">
        <v>25001072</v>
      </c>
      <c r="M73" t="n">
        <v>4500001072</v>
      </c>
      <c r="N73" t="n">
        <v>180001072</v>
      </c>
      <c r="O73" t="n">
        <v>10</v>
      </c>
      <c r="P73" t="inlineStr">
        <is>
          <t xml:space="preserve">1301072 </t>
        </is>
      </c>
      <c r="Q73" t="inlineStr">
        <is>
          <t>ACORDOS SAC</t>
        </is>
      </c>
      <c r="R73" t="inlineStr">
        <is>
          <t xml:space="preserve"> GI52000</t>
        </is>
      </c>
      <c r="S73" t="n">
        <v>622600</v>
      </c>
    </row>
    <row r="74">
      <c r="A74">
        <f>IF(U74&lt;&gt;"","Pago",IF(T74&lt;&gt;"","Enviado para pagamento",IF(N74&lt;&gt;"","Pedido Recepcionado",IF(M74&lt;&gt;"","Pedido Concluído",IF(L74&lt;&gt;"","RC Criada","Lançar Pgto")))))</f>
        <v/>
      </c>
      <c r="B74" t="inlineStr">
        <is>
          <t>RDB - DIV</t>
        </is>
      </c>
      <c r="C74" t="inlineStr">
        <is>
          <t>Cível</t>
        </is>
      </c>
      <c r="D74" t="inlineStr">
        <is>
          <t>ADIANTAMENTO</t>
        </is>
      </c>
      <c r="E74" t="n">
        <v>1073</v>
      </c>
      <c r="F74" t="inlineStr">
        <is>
          <t>Honorários</t>
        </is>
      </c>
      <c r="G74" t="n">
        <v>6400</v>
      </c>
      <c r="H74" t="inlineStr">
        <is>
          <t>Maio</t>
        </is>
      </c>
      <c r="I74" t="inlineStr">
        <is>
          <t>09.06.2024</t>
        </is>
      </c>
      <c r="J74" t="inlineStr">
        <is>
          <t>Fixo</t>
        </is>
      </c>
      <c r="K74" t="inlineStr">
        <is>
          <t>Honorários Cível maio</t>
        </is>
      </c>
      <c r="L74" t="n">
        <v>25001073</v>
      </c>
      <c r="M74" t="n">
        <v>4500001073</v>
      </c>
      <c r="N74" t="n">
        <v>180001073</v>
      </c>
      <c r="O74" t="n">
        <v>10</v>
      </c>
      <c r="P74" t="inlineStr">
        <is>
          <t xml:space="preserve">1301073 </t>
        </is>
      </c>
      <c r="Q74" t="inlineStr">
        <is>
          <t>HONORÁRIOS E DESPESAS</t>
        </is>
      </c>
      <c r="R74" t="inlineStr">
        <is>
          <t xml:space="preserve"> GI52000</t>
        </is>
      </c>
      <c r="S74" t="n">
        <v>622600</v>
      </c>
      <c r="T74" t="inlineStr">
        <is>
          <t>07.05.2024</t>
        </is>
      </c>
      <c r="U74" t="n">
        <v>211401073</v>
      </c>
    </row>
    <row r="75">
      <c r="A75">
        <f>IF(U75&lt;&gt;"","Pago",IF(T75&lt;&gt;"","Enviado para pagamento",IF(N75&lt;&gt;"","Pedido Recepcionado",IF(M75&lt;&gt;"","Pedido Concluído",IF(L75&lt;&gt;"","RC Criada","Lançar Pgto")))))</f>
        <v/>
      </c>
      <c r="B75" t="inlineStr">
        <is>
          <t>RDB - DIV</t>
        </is>
      </c>
      <c r="C75" t="inlineStr">
        <is>
          <t>Cível</t>
        </is>
      </c>
      <c r="D75" t="inlineStr">
        <is>
          <t>Interno</t>
        </is>
      </c>
      <c r="E75" t="n">
        <v>1074</v>
      </c>
      <c r="F75" t="inlineStr">
        <is>
          <t>Custas</t>
        </is>
      </c>
      <c r="G75" t="n">
        <v>826.8099999999999</v>
      </c>
      <c r="H75" t="inlineStr">
        <is>
          <t>Maio</t>
        </is>
      </c>
      <c r="I75" t="inlineStr">
        <is>
          <t>28.06.2024</t>
        </is>
      </c>
      <c r="J75" t="inlineStr">
        <is>
          <t>Variável pontual</t>
        </is>
      </c>
      <c r="K75" t="inlineStr">
        <is>
          <t>Custas Cível maio</t>
        </is>
      </c>
      <c r="O75" t="n">
        <v>10</v>
      </c>
      <c r="Q75" t="inlineStr">
        <is>
          <t>HONORÁRIOS E DESPESAS</t>
        </is>
      </c>
      <c r="R75" t="inlineStr">
        <is>
          <t xml:space="preserve"> GI52000</t>
        </is>
      </c>
      <c r="S75" t="n">
        <v>622600</v>
      </c>
    </row>
    <row r="76">
      <c r="A76">
        <f>IF(U76&lt;&gt;"","Pago",IF(T76&lt;&gt;"","Enviado para pagamento",IF(N76&lt;&gt;"","Pedido Recepcionado",IF(M76&lt;&gt;"","Pedido Concluído",IF(L76&lt;&gt;"","RC Criada","Lançar Pgto")))))</f>
        <v/>
      </c>
      <c r="B76" t="inlineStr">
        <is>
          <t>RDB - TRAB CVP</t>
        </is>
      </c>
      <c r="C76" t="inlineStr">
        <is>
          <t>Trabalhista</t>
        </is>
      </c>
      <c r="D76" t="inlineStr">
        <is>
          <t>ADIANTAMENTO</t>
        </is>
      </c>
      <c r="E76" t="n">
        <v>1075</v>
      </c>
      <c r="F76" t="inlineStr">
        <is>
          <t>Condenação</t>
        </is>
      </c>
      <c r="G76" t="n">
        <v>23136.05</v>
      </c>
      <c r="H76" t="inlineStr">
        <is>
          <t>Maio</t>
        </is>
      </c>
      <c r="I76" t="inlineStr">
        <is>
          <t>21.06.2024</t>
        </is>
      </c>
      <c r="J76" t="inlineStr">
        <is>
          <t>Variável pontual</t>
        </is>
      </c>
      <c r="K76" t="inlineStr">
        <is>
          <t>Condenação Trabalhista maio</t>
        </is>
      </c>
      <c r="O76" t="n">
        <v>10</v>
      </c>
      <c r="Q76" t="inlineStr">
        <is>
          <t>TRABALHISTA GERAL</t>
        </is>
      </c>
      <c r="R76" t="inlineStr">
        <is>
          <t xml:space="preserve"> GI52000</t>
        </is>
      </c>
      <c r="S76" t="n">
        <v>622600</v>
      </c>
    </row>
    <row r="77">
      <c r="A77">
        <f>IF(U77&lt;&gt;"","Pago",IF(T77&lt;&gt;"","Enviado para pagamento",IF(N77&lt;&gt;"","Pedido Recepcionado",IF(M77&lt;&gt;"","Pedido Concluído",IF(L77&lt;&gt;"","RC Criada","Lançar Pgto")))))</f>
        <v/>
      </c>
      <c r="B77" t="inlineStr">
        <is>
          <t>RDB - TRAB CVP</t>
        </is>
      </c>
      <c r="C77" t="inlineStr">
        <is>
          <t>Trabalhista</t>
        </is>
      </c>
      <c r="D77" t="inlineStr">
        <is>
          <t>Interno</t>
        </is>
      </c>
      <c r="E77" t="n">
        <v>1076</v>
      </c>
      <c r="F77" t="inlineStr">
        <is>
          <t>acordo</t>
        </is>
      </c>
      <c r="G77" t="n">
        <v>17516.32</v>
      </c>
      <c r="H77" t="inlineStr">
        <is>
          <t>Maio</t>
        </is>
      </c>
      <c r="I77" t="inlineStr">
        <is>
          <t>06.06.2024</t>
        </is>
      </c>
      <c r="J77" t="inlineStr">
        <is>
          <t>variável pontual</t>
        </is>
      </c>
      <c r="K77" t="inlineStr">
        <is>
          <t>acordo Trabalhista maio</t>
        </is>
      </c>
      <c r="L77" t="n">
        <v>25001076</v>
      </c>
      <c r="M77" t="n">
        <v>4500001076</v>
      </c>
      <c r="N77" t="n">
        <v>180001076</v>
      </c>
      <c r="O77" t="n">
        <v>10</v>
      </c>
      <c r="P77" t="inlineStr">
        <is>
          <t xml:space="preserve">1301076 </t>
        </is>
      </c>
      <c r="Q77" t="inlineStr">
        <is>
          <t>TRABALHISTA GERAL</t>
        </is>
      </c>
      <c r="R77" t="inlineStr">
        <is>
          <t xml:space="preserve"> GI52000</t>
        </is>
      </c>
      <c r="S77" t="n">
        <v>622600</v>
      </c>
      <c r="T77" t="inlineStr">
        <is>
          <t>17.05.2024</t>
        </is>
      </c>
    </row>
    <row r="78">
      <c r="A78">
        <f>IF(U78&lt;&gt;"","Pago",IF(T78&lt;&gt;"","Enviado para pagamento",IF(N78&lt;&gt;"","Pedido Recepcionado",IF(M78&lt;&gt;"","Pedido Concluído",IF(L78&lt;&gt;"","RC Criada","Lançar Pgto")))))</f>
        <v/>
      </c>
      <c r="B78" t="inlineStr">
        <is>
          <t>RDB - TRAB SUPORTE</t>
        </is>
      </c>
      <c r="C78" t="inlineStr">
        <is>
          <t>Trabalhista</t>
        </is>
      </c>
      <c r="D78" t="inlineStr">
        <is>
          <t>Interno</t>
        </is>
      </c>
      <c r="E78" t="n">
        <v>1077</v>
      </c>
      <c r="F78" t="inlineStr">
        <is>
          <t>Acordo</t>
        </is>
      </c>
      <c r="G78" t="n">
        <v>7488.4</v>
      </c>
      <c r="H78" t="inlineStr">
        <is>
          <t>Maio</t>
        </is>
      </c>
      <c r="I78" t="inlineStr">
        <is>
          <t>24.06.2024</t>
        </is>
      </c>
      <c r="J78" t="inlineStr">
        <is>
          <t>Variável pontual</t>
        </is>
      </c>
      <c r="K78" t="inlineStr">
        <is>
          <t>Acordo Trabalhista maio</t>
        </is>
      </c>
      <c r="L78" t="n">
        <v>25001077</v>
      </c>
      <c r="O78" t="n">
        <v>10</v>
      </c>
      <c r="P78" t="inlineStr">
        <is>
          <t xml:space="preserve">1301077 </t>
        </is>
      </c>
      <c r="Q78" t="inlineStr">
        <is>
          <t>TRABALHISTA ACORDOS</t>
        </is>
      </c>
      <c r="R78" t="inlineStr">
        <is>
          <t xml:space="preserve"> GI52000</t>
        </is>
      </c>
      <c r="S78" t="n">
        <v>622600</v>
      </c>
    </row>
    <row r="79">
      <c r="A79">
        <f>IF(U79&lt;&gt;"","Pago",IF(T79&lt;&gt;"","Enviado para pagamento",IF(N79&lt;&gt;"","Pedido Recepcionado",IF(M79&lt;&gt;"","Pedido Concluído",IF(L79&lt;&gt;"","RC Criada","Lançar Pgto")))))</f>
        <v/>
      </c>
      <c r="B79" t="inlineStr">
        <is>
          <t>RDB - TRAB PIF</t>
        </is>
      </c>
      <c r="C79" t="inlineStr">
        <is>
          <t>Trabalhista</t>
        </is>
      </c>
      <c r="D79" t="inlineStr">
        <is>
          <t>ADIANTAMENTO</t>
        </is>
      </c>
      <c r="E79" t="n">
        <v>1078</v>
      </c>
      <c r="F79" t="inlineStr">
        <is>
          <t>Acordo</t>
        </is>
      </c>
      <c r="G79" t="n">
        <v>16543.69</v>
      </c>
      <c r="H79" t="inlineStr">
        <is>
          <t>Maio</t>
        </is>
      </c>
      <c r="I79" t="inlineStr">
        <is>
          <t>08.06.2024</t>
        </is>
      </c>
      <c r="J79" t="inlineStr">
        <is>
          <t>Variável pontual</t>
        </is>
      </c>
      <c r="K79" t="inlineStr">
        <is>
          <t>Acordo Trabalhista maio</t>
        </is>
      </c>
      <c r="L79" t="n">
        <v>25001078</v>
      </c>
      <c r="O79" t="n">
        <v>10</v>
      </c>
      <c r="P79" t="inlineStr">
        <is>
          <t xml:space="preserve">1301078 </t>
        </is>
      </c>
      <c r="Q79" t="inlineStr">
        <is>
          <t>PIF/PDV</t>
        </is>
      </c>
      <c r="R79" t="inlineStr">
        <is>
          <t xml:space="preserve"> GI52000</t>
        </is>
      </c>
      <c r="S79" t="n">
        <v>622600</v>
      </c>
    </row>
    <row r="80">
      <c r="A80">
        <f>IF(U80&lt;&gt;"","Pago",IF(T80&lt;&gt;"","Enviado para pagamento",IF(N80&lt;&gt;"","Pedido Recepcionado",IF(M80&lt;&gt;"","Pedido Concluído",IF(L80&lt;&gt;"","RC Criada","Lançar Pgto")))))</f>
        <v/>
      </c>
      <c r="B80" t="inlineStr">
        <is>
          <t>RDB - TRIB</t>
        </is>
      </c>
      <c r="C80" t="inlineStr">
        <is>
          <t>Tributário</t>
        </is>
      </c>
      <c r="D80" t="inlineStr">
        <is>
          <t>Interno</t>
        </is>
      </c>
      <c r="E80" t="n">
        <v>1079</v>
      </c>
      <c r="F80" t="inlineStr">
        <is>
          <t>Honorários</t>
        </is>
      </c>
      <c r="G80" t="n">
        <v>17000</v>
      </c>
      <c r="H80" t="inlineStr">
        <is>
          <t>Maio</t>
        </is>
      </c>
      <c r="I80" t="inlineStr">
        <is>
          <t>23.06.2024</t>
        </is>
      </c>
      <c r="J80" t="inlineStr">
        <is>
          <t>Fixo</t>
        </is>
      </c>
      <c r="K80" t="inlineStr">
        <is>
          <t>Honorários Tributário maio</t>
        </is>
      </c>
      <c r="L80" t="n">
        <v>25001079</v>
      </c>
      <c r="M80" t="n">
        <v>4500001079</v>
      </c>
      <c r="N80" t="n">
        <v>180001079</v>
      </c>
      <c r="O80" t="n">
        <v>10</v>
      </c>
      <c r="P80" t="inlineStr">
        <is>
          <t xml:space="preserve">1301079 </t>
        </is>
      </c>
      <c r="Q80" t="inlineStr">
        <is>
          <t>HONORÁRIOS E DESPESAS</t>
        </is>
      </c>
      <c r="R80" t="inlineStr">
        <is>
          <t xml:space="preserve"> GI52000</t>
        </is>
      </c>
      <c r="S80" t="n">
        <v>622600</v>
      </c>
      <c r="T80" t="inlineStr">
        <is>
          <t>20.05.2024</t>
        </is>
      </c>
    </row>
    <row r="81">
      <c r="A81">
        <f>IF(U81&lt;&gt;"","Pago",IF(T81&lt;&gt;"","Enviado para pagamento",IF(N81&lt;&gt;"","Pedido Recepcionado",IF(M81&lt;&gt;"","Pedido Concluído",IF(L81&lt;&gt;"","RC Criada","Lançar Pgto")))))</f>
        <v/>
      </c>
      <c r="B81" t="inlineStr">
        <is>
          <t>RDB - TRIB</t>
        </is>
      </c>
      <c r="C81" t="inlineStr">
        <is>
          <t>Tributário</t>
        </is>
      </c>
      <c r="D81" t="inlineStr">
        <is>
          <t>ADIANTAMENTO</t>
        </is>
      </c>
      <c r="E81" t="n">
        <v>1080</v>
      </c>
      <c r="F81" t="inlineStr">
        <is>
          <t>Custas</t>
        </is>
      </c>
      <c r="G81" t="n">
        <v>2447.69</v>
      </c>
      <c r="H81" t="inlineStr">
        <is>
          <t>Maio</t>
        </is>
      </c>
      <c r="I81" t="inlineStr">
        <is>
          <t>26.06.2024</t>
        </is>
      </c>
      <c r="J81" t="inlineStr">
        <is>
          <t>Variável pontual</t>
        </is>
      </c>
      <c r="K81" t="inlineStr">
        <is>
          <t>Custas Tributário maio</t>
        </is>
      </c>
      <c r="O81" t="n">
        <v>10</v>
      </c>
      <c r="Q81" t="inlineStr">
        <is>
          <t>CORPORATE</t>
        </is>
      </c>
      <c r="R81" t="inlineStr">
        <is>
          <t xml:space="preserve"> GI52000</t>
        </is>
      </c>
      <c r="S81" t="n">
        <v>622600</v>
      </c>
    </row>
    <row r="82">
      <c r="A82">
        <f>IF(U82&lt;&gt;"","Pago",IF(T82&lt;&gt;"","Enviado para pagamento",IF(N82&lt;&gt;"","Pedido Recepcionado",IF(M82&lt;&gt;"","Pedido Concluído",IF(L82&lt;&gt;"","RC Criada","Lançar Pgto")))))</f>
        <v/>
      </c>
      <c r="B82" t="inlineStr">
        <is>
          <t>RDB - DIV</t>
        </is>
      </c>
      <c r="C82" t="inlineStr">
        <is>
          <t xml:space="preserve">LGPD </t>
        </is>
      </c>
      <c r="D82" t="inlineStr">
        <is>
          <t>ADIANTAMENTO</t>
        </is>
      </c>
      <c r="E82" t="n">
        <v>1081</v>
      </c>
      <c r="F82" t="inlineStr">
        <is>
          <t>Honorários</t>
        </is>
      </c>
      <c r="G82" t="n">
        <v>12000</v>
      </c>
      <c r="H82" t="inlineStr">
        <is>
          <t>Maio</t>
        </is>
      </c>
      <c r="I82" t="inlineStr">
        <is>
          <t>13.06.2024</t>
        </is>
      </c>
      <c r="J82" t="inlineStr">
        <is>
          <t>Fixo</t>
        </is>
      </c>
      <c r="K82" t="inlineStr">
        <is>
          <t>Honorários LGPD maio</t>
        </is>
      </c>
      <c r="L82" t="n">
        <v>25001081</v>
      </c>
      <c r="M82" t="n">
        <v>4500001081</v>
      </c>
      <c r="N82" t="n">
        <v>180001081</v>
      </c>
      <c r="O82" t="n">
        <v>10</v>
      </c>
      <c r="P82" t="inlineStr">
        <is>
          <t xml:space="preserve">1301081 </t>
        </is>
      </c>
      <c r="Q82" t="inlineStr">
        <is>
          <t>LGPD GERAL &amp; TERCEIROS</t>
        </is>
      </c>
      <c r="R82" t="inlineStr">
        <is>
          <t xml:space="preserve"> GI52000</t>
        </is>
      </c>
      <c r="S82" t="n">
        <v>622600</v>
      </c>
      <c r="T82" t="inlineStr">
        <is>
          <t>07.05.2024</t>
        </is>
      </c>
    </row>
    <row r="83">
      <c r="A83">
        <f>IF(U83&lt;&gt;"","Pago",IF(T83&lt;&gt;"","Enviado para pagamento",IF(N83&lt;&gt;"","Pedido Recepcionado",IF(M83&lt;&gt;"","Pedido Concluído",IF(L83&lt;&gt;"","RC Criada","Lançar Pgto")))))</f>
        <v/>
      </c>
      <c r="B83" t="inlineStr">
        <is>
          <t>RDB - DIV</t>
        </is>
      </c>
      <c r="C83" t="inlineStr">
        <is>
          <t xml:space="preserve">LGPD </t>
        </is>
      </c>
      <c r="D83" t="inlineStr">
        <is>
          <t>Interno</t>
        </is>
      </c>
      <c r="E83" t="n">
        <v>1082</v>
      </c>
      <c r="F83" t="inlineStr">
        <is>
          <t xml:space="preserve">LGPD </t>
        </is>
      </c>
      <c r="G83" t="n">
        <v>2669.73</v>
      </c>
      <c r="H83" t="inlineStr">
        <is>
          <t>Maio</t>
        </is>
      </c>
      <c r="I83" t="inlineStr">
        <is>
          <t>13.06.2024</t>
        </is>
      </c>
      <c r="J83" t="inlineStr">
        <is>
          <t>Variável pontual</t>
        </is>
      </c>
      <c r="K83" t="inlineStr">
        <is>
          <t>LGPD LGPD maio</t>
        </is>
      </c>
      <c r="L83" t="n">
        <v>25001082</v>
      </c>
      <c r="M83" t="n">
        <v>4500001082</v>
      </c>
      <c r="O83" t="n">
        <v>10</v>
      </c>
      <c r="P83" t="inlineStr">
        <is>
          <t xml:space="preserve">1301082 </t>
        </is>
      </c>
      <c r="Q83" t="inlineStr">
        <is>
          <t>LGPD GERAL &amp; TERCEIROS</t>
        </is>
      </c>
      <c r="R83" t="inlineStr">
        <is>
          <t xml:space="preserve"> GI52000</t>
        </is>
      </c>
      <c r="S83" t="n">
        <v>622600</v>
      </c>
    </row>
    <row r="84">
      <c r="A84">
        <f>IF(U84&lt;&gt;"","Pago",IF(T84&lt;&gt;"","Enviado para pagamento",IF(N84&lt;&gt;"","Pedido Recepcionado",IF(M84&lt;&gt;"","Pedido Concluído",IF(L84&lt;&gt;"","RC Criada","Lançar Pgto")))))</f>
        <v/>
      </c>
      <c r="B84" t="inlineStr">
        <is>
          <t>RDB - DIV</t>
        </is>
      </c>
      <c r="C84" t="inlineStr">
        <is>
          <t>Cartório</t>
        </is>
      </c>
      <c r="D84" t="inlineStr">
        <is>
          <t>ADIANTAMENTO</t>
        </is>
      </c>
      <c r="E84" t="n">
        <v>1083</v>
      </c>
      <c r="F84" t="inlineStr">
        <is>
          <t>Despesas</t>
        </is>
      </c>
      <c r="G84" t="n">
        <v>1437.47</v>
      </c>
      <c r="H84" t="inlineStr">
        <is>
          <t>Maio</t>
        </is>
      </c>
      <c r="I84" t="inlineStr">
        <is>
          <t>19.06.2024</t>
        </is>
      </c>
      <c r="J84" t="inlineStr">
        <is>
          <t xml:space="preserve">Fixo valor variável </t>
        </is>
      </c>
      <c r="K84" t="inlineStr">
        <is>
          <t>Despesas Cartório maio</t>
        </is>
      </c>
      <c r="L84" t="n">
        <v>25001083</v>
      </c>
      <c r="M84" t="n">
        <v>4500001083</v>
      </c>
      <c r="N84" t="n">
        <v>180001083</v>
      </c>
      <c r="O84" t="n">
        <v>10</v>
      </c>
      <c r="P84" t="inlineStr">
        <is>
          <t xml:space="preserve">1301083 </t>
        </is>
      </c>
      <c r="Q84" t="inlineStr">
        <is>
          <t>CARTÓRIO</t>
        </is>
      </c>
      <c r="R84" t="inlineStr">
        <is>
          <t xml:space="preserve"> GI52000</t>
        </is>
      </c>
      <c r="S84" t="n">
        <v>622600</v>
      </c>
      <c r="T84" t="inlineStr">
        <is>
          <t>11.05.2024</t>
        </is>
      </c>
      <c r="U84" t="n">
        <v>211401083</v>
      </c>
    </row>
    <row r="85">
      <c r="A85">
        <f>IF(U85&lt;&gt;"","Pago",IF(T85&lt;&gt;"","Enviado para pagamento",IF(N85&lt;&gt;"","Pedido Recepcionado",IF(M85&lt;&gt;"","Pedido Concluído",IF(L85&lt;&gt;"","RC Criada","Lançar Pgto")))))</f>
        <v/>
      </c>
      <c r="B85" t="inlineStr">
        <is>
          <t>RDB - DIV</t>
        </is>
      </c>
      <c r="C85" t="inlineStr">
        <is>
          <t>Projuris SUPRAMONTE</t>
        </is>
      </c>
      <c r="D85" t="inlineStr">
        <is>
          <t>Interno</t>
        </is>
      </c>
      <c r="E85" t="n">
        <v>1084</v>
      </c>
      <c r="F85" t="inlineStr">
        <is>
          <t>Projuris</t>
        </is>
      </c>
      <c r="G85" t="n">
        <v>2068.72</v>
      </c>
      <c r="H85" t="inlineStr">
        <is>
          <t>Maio</t>
        </is>
      </c>
      <c r="I85" t="inlineStr">
        <is>
          <t>19.06.2024</t>
        </is>
      </c>
      <c r="J85" t="inlineStr">
        <is>
          <t>Fixo</t>
        </is>
      </c>
      <c r="K85" t="inlineStr">
        <is>
          <t>Projuris Projuris SUPRAMONTE maio</t>
        </is>
      </c>
      <c r="O85" t="n">
        <v>10</v>
      </c>
      <c r="Q85" t="inlineStr">
        <is>
          <t>SISTEMAS</t>
        </is>
      </c>
      <c r="R85" t="inlineStr">
        <is>
          <t xml:space="preserve"> GI52000</t>
        </is>
      </c>
      <c r="S85" t="n">
        <v>622600</v>
      </c>
    </row>
    <row r="86">
      <c r="A86">
        <f>IF(U86&lt;&gt;"","Pago",IF(T86&lt;&gt;"","Enviado para pagamento",IF(N86&lt;&gt;"","Pedido Recepcionado",IF(M86&lt;&gt;"","Pedido Concluído",IF(L86&lt;&gt;"","RC Criada","Lançar Pgto")))))</f>
        <v/>
      </c>
      <c r="B86" t="inlineStr">
        <is>
          <t>RDB - DIV</t>
        </is>
      </c>
      <c r="C86" t="inlineStr">
        <is>
          <t>Consumidor</t>
        </is>
      </c>
      <c r="D86" t="inlineStr">
        <is>
          <t>Interno</t>
        </is>
      </c>
      <c r="E86" t="n">
        <v>1085</v>
      </c>
      <c r="F86" t="inlineStr">
        <is>
          <t>Juros e correção</t>
        </is>
      </c>
      <c r="G86" t="n">
        <v>733.92</v>
      </c>
      <c r="H86" t="inlineStr">
        <is>
          <t>Maio</t>
        </is>
      </c>
      <c r="I86" t="inlineStr">
        <is>
          <t>07.06.2024</t>
        </is>
      </c>
      <c r="J86" t="inlineStr">
        <is>
          <t>Variável pontual</t>
        </is>
      </c>
      <c r="K86" t="inlineStr">
        <is>
          <t>Juros e correção Consumidor maio</t>
        </is>
      </c>
      <c r="L86" t="n">
        <v>25001085</v>
      </c>
      <c r="M86" t="n">
        <v>4500001085</v>
      </c>
      <c r="N86" t="n">
        <v>180001085</v>
      </c>
      <c r="O86" t="n">
        <v>10</v>
      </c>
      <c r="P86" t="inlineStr">
        <is>
          <t xml:space="preserve">1301085 </t>
        </is>
      </c>
      <c r="Q86" t="inlineStr">
        <is>
          <t>OUTRA ÁREA</t>
        </is>
      </c>
      <c r="R86" t="inlineStr">
        <is>
          <t xml:space="preserve"> GI52000</t>
        </is>
      </c>
      <c r="S86" t="n">
        <v>622600</v>
      </c>
      <c r="T86" t="inlineStr">
        <is>
          <t>18.05.2024</t>
        </is>
      </c>
    </row>
    <row r="87">
      <c r="A87">
        <f>IF(U87&lt;&gt;"","Pago",IF(T87&lt;&gt;"","Enviado para pagamento",IF(N87&lt;&gt;"","Pedido Recepcionado",IF(M87&lt;&gt;"","Pedido Concluído",IF(L87&lt;&gt;"","RC Criada","Lançar Pgto")))))</f>
        <v/>
      </c>
      <c r="B87" t="inlineStr">
        <is>
          <t>RDB - CONS</t>
        </is>
      </c>
      <c r="C87" t="inlineStr">
        <is>
          <t>Consumidor</t>
        </is>
      </c>
      <c r="D87" t="inlineStr">
        <is>
          <t>ADIANTAMENTO</t>
        </is>
      </c>
      <c r="E87" t="n">
        <v>1086</v>
      </c>
      <c r="F87" t="inlineStr">
        <is>
          <t>Honorários</t>
        </is>
      </c>
      <c r="G87" t="n">
        <v>30000</v>
      </c>
      <c r="H87" t="inlineStr">
        <is>
          <t>Junho</t>
        </is>
      </c>
      <c r="I87" t="inlineStr">
        <is>
          <t>09.07.2024</t>
        </is>
      </c>
      <c r="J87" t="inlineStr">
        <is>
          <t>Fixo</t>
        </is>
      </c>
      <c r="K87" t="inlineStr">
        <is>
          <t>Honorários Consumidor junho</t>
        </is>
      </c>
      <c r="L87" t="n">
        <v>25001086</v>
      </c>
      <c r="O87" t="n">
        <v>10</v>
      </c>
      <c r="P87" t="inlineStr">
        <is>
          <t xml:space="preserve">1301086 </t>
        </is>
      </c>
      <c r="Q87" t="inlineStr">
        <is>
          <t>HONORÁRIOS E DESPESAS</t>
        </is>
      </c>
      <c r="R87" t="inlineStr">
        <is>
          <t>GI52015</t>
        </is>
      </c>
      <c r="S87" t="n">
        <v>622600</v>
      </c>
    </row>
    <row r="88">
      <c r="A88">
        <f>IF(U88&lt;&gt;"","Pago",IF(T88&lt;&gt;"","Enviado para pagamento",IF(N88&lt;&gt;"","Pedido Recepcionado",IF(M88&lt;&gt;"","Pedido Concluído",IF(L88&lt;&gt;"","RC Criada","Lançar Pgto")))))</f>
        <v/>
      </c>
      <c r="B88" t="inlineStr">
        <is>
          <t>RDB - CONS</t>
        </is>
      </c>
      <c r="C88" t="inlineStr">
        <is>
          <t>Consumidor</t>
        </is>
      </c>
      <c r="D88" t="inlineStr">
        <is>
          <t>Interno</t>
        </is>
      </c>
      <c r="E88" t="n">
        <v>1087</v>
      </c>
      <c r="F88" t="inlineStr">
        <is>
          <t>Condenação</t>
        </is>
      </c>
      <c r="G88" t="n">
        <v>52798.67</v>
      </c>
      <c r="H88" t="inlineStr">
        <is>
          <t>Junho</t>
        </is>
      </c>
      <c r="I88" t="inlineStr">
        <is>
          <t>16.07.2024</t>
        </is>
      </c>
      <c r="J88" t="inlineStr">
        <is>
          <t>Variável pontual</t>
        </is>
      </c>
      <c r="K88" t="inlineStr">
        <is>
          <t>Condenação Consumidor junho</t>
        </is>
      </c>
      <c r="O88" t="n">
        <v>10</v>
      </c>
      <c r="Q88" t="inlineStr">
        <is>
          <t>CORPORATE</t>
        </is>
      </c>
      <c r="R88" t="inlineStr">
        <is>
          <t>GI52015</t>
        </is>
      </c>
      <c r="S88" t="n">
        <v>622600</v>
      </c>
    </row>
    <row r="89">
      <c r="A89">
        <f>IF(U89&lt;&gt;"","Pago",IF(T89&lt;&gt;"","Enviado para pagamento",IF(N89&lt;&gt;"","Pedido Recepcionado",IF(M89&lt;&gt;"","Pedido Concluído",IF(L89&lt;&gt;"","RC Criada","Lançar Pgto")))))</f>
        <v/>
      </c>
      <c r="B89" t="inlineStr">
        <is>
          <t>RDB - CONS</t>
        </is>
      </c>
      <c r="C89" t="inlineStr">
        <is>
          <t>Consumidor</t>
        </is>
      </c>
      <c r="D89" t="inlineStr">
        <is>
          <t>ADIANTAMENTO</t>
        </is>
      </c>
      <c r="E89" t="n">
        <v>1088</v>
      </c>
      <c r="F89" t="inlineStr">
        <is>
          <t>Acordo</t>
        </is>
      </c>
      <c r="G89" t="n">
        <v>10967.94</v>
      </c>
      <c r="H89" t="inlineStr">
        <is>
          <t>Junho</t>
        </is>
      </c>
      <c r="I89" t="inlineStr">
        <is>
          <t>24.07.2024</t>
        </is>
      </c>
      <c r="J89" t="inlineStr">
        <is>
          <t>Variável pontual</t>
        </is>
      </c>
      <c r="K89" t="inlineStr">
        <is>
          <t>Acordo Consumidor junho</t>
        </is>
      </c>
      <c r="L89" t="n">
        <v>25001088</v>
      </c>
      <c r="M89" t="n">
        <v>4500001088</v>
      </c>
      <c r="N89" t="n">
        <v>180001088</v>
      </c>
      <c r="O89" t="n">
        <v>10</v>
      </c>
      <c r="P89" t="inlineStr">
        <is>
          <t xml:space="preserve">1301088 </t>
        </is>
      </c>
      <c r="Q89" t="inlineStr">
        <is>
          <t>ACORDOS CONSUMIDOR</t>
        </is>
      </c>
      <c r="R89" t="inlineStr">
        <is>
          <t>GI52015</t>
        </is>
      </c>
      <c r="S89" t="n">
        <v>622600</v>
      </c>
    </row>
    <row r="90">
      <c r="A90">
        <f>IF(U90&lt;&gt;"","Pago",IF(T90&lt;&gt;"","Enviado para pagamento",IF(N90&lt;&gt;"","Pedido Recepcionado",IF(M90&lt;&gt;"","Pedido Concluído",IF(L90&lt;&gt;"","RC Criada","Lançar Pgto")))))</f>
        <v/>
      </c>
      <c r="B90" t="inlineStr">
        <is>
          <t>RDB - CONS</t>
        </is>
      </c>
      <c r="C90" t="inlineStr">
        <is>
          <t>Acordo Projeto SAC</t>
        </is>
      </c>
      <c r="D90" t="inlineStr">
        <is>
          <t>Interno</t>
        </is>
      </c>
      <c r="E90" t="n">
        <v>1089</v>
      </c>
      <c r="F90" t="inlineStr">
        <is>
          <t>Acordo</t>
        </is>
      </c>
      <c r="G90" t="n">
        <v>9548.33</v>
      </c>
      <c r="H90" t="inlineStr">
        <is>
          <t>Junho</t>
        </is>
      </c>
      <c r="I90" t="inlineStr">
        <is>
          <t>26.07.2024</t>
        </is>
      </c>
      <c r="J90" t="inlineStr">
        <is>
          <t>Variável pontual</t>
        </is>
      </c>
      <c r="K90" t="inlineStr">
        <is>
          <t>Acordo Acordo Projeto SAC junho</t>
        </is>
      </c>
      <c r="L90" t="n">
        <v>25001089</v>
      </c>
      <c r="M90" t="n">
        <v>4500001089</v>
      </c>
      <c r="N90" t="n">
        <v>180001089</v>
      </c>
      <c r="O90" t="n">
        <v>10</v>
      </c>
      <c r="P90" t="inlineStr">
        <is>
          <t xml:space="preserve">1301089 </t>
        </is>
      </c>
      <c r="Q90" t="inlineStr">
        <is>
          <t>ACORDOS SAC</t>
        </is>
      </c>
      <c r="R90" t="inlineStr">
        <is>
          <t>GI52015</t>
        </is>
      </c>
      <c r="S90" t="n">
        <v>622600</v>
      </c>
      <c r="T90" t="inlineStr">
        <is>
          <t>27.06.2024</t>
        </is>
      </c>
      <c r="U90" t="n">
        <v>211401089</v>
      </c>
    </row>
    <row r="91">
      <c r="A91">
        <f>IF(U91&lt;&gt;"","Pago",IF(T91&lt;&gt;"","Enviado para pagamento",IF(N91&lt;&gt;"","Pedido Recepcionado",IF(M91&lt;&gt;"","Pedido Concluído",IF(L91&lt;&gt;"","RC Criada","Lançar Pgto")))))</f>
        <v/>
      </c>
      <c r="B91" t="inlineStr">
        <is>
          <t>RDB - DIV</t>
        </is>
      </c>
      <c r="C91" t="inlineStr">
        <is>
          <t>Cível</t>
        </is>
      </c>
      <c r="D91" t="inlineStr">
        <is>
          <t>ADIANTAMENTO</t>
        </is>
      </c>
      <c r="E91" t="n">
        <v>1090</v>
      </c>
      <c r="F91" t="inlineStr">
        <is>
          <t>Honorários</t>
        </is>
      </c>
      <c r="G91" t="n">
        <v>6400</v>
      </c>
      <c r="H91" t="inlineStr">
        <is>
          <t>Junho</t>
        </is>
      </c>
      <c r="I91" t="inlineStr">
        <is>
          <t>26.07.2024</t>
        </is>
      </c>
      <c r="J91" t="inlineStr">
        <is>
          <t>Fixo</t>
        </is>
      </c>
      <c r="K91" t="inlineStr">
        <is>
          <t>Honorários Cível junho</t>
        </is>
      </c>
      <c r="L91" t="n">
        <v>25001090</v>
      </c>
      <c r="M91" t="n">
        <v>4500001090</v>
      </c>
      <c r="N91" t="n">
        <v>180001090</v>
      </c>
      <c r="O91" t="n">
        <v>10</v>
      </c>
      <c r="P91" t="inlineStr">
        <is>
          <t xml:space="preserve">1301090 </t>
        </is>
      </c>
      <c r="Q91" t="inlineStr">
        <is>
          <t>HONORÁRIOS E DESPESAS</t>
        </is>
      </c>
      <c r="R91" t="inlineStr">
        <is>
          <t>GI52015</t>
        </is>
      </c>
      <c r="S91" t="n">
        <v>622600</v>
      </c>
      <c r="T91" t="inlineStr">
        <is>
          <t>04.06.2024</t>
        </is>
      </c>
    </row>
    <row r="92">
      <c r="A92">
        <f>IF(U92&lt;&gt;"","Pago",IF(T92&lt;&gt;"","Enviado para pagamento",IF(N92&lt;&gt;"","Pedido Recepcionado",IF(M92&lt;&gt;"","Pedido Concluído",IF(L92&lt;&gt;"","RC Criada","Lançar Pgto")))))</f>
        <v/>
      </c>
      <c r="B92" t="inlineStr">
        <is>
          <t>RDB - DIV</t>
        </is>
      </c>
      <c r="C92" t="inlineStr">
        <is>
          <t>Cível</t>
        </is>
      </c>
      <c r="D92" t="inlineStr">
        <is>
          <t>ADIANTAMENTO</t>
        </is>
      </c>
      <c r="E92" t="n">
        <v>1091</v>
      </c>
      <c r="F92" t="inlineStr">
        <is>
          <t>Custas</t>
        </is>
      </c>
      <c r="G92" t="n">
        <v>1058.01</v>
      </c>
      <c r="H92" t="inlineStr">
        <is>
          <t>Junho</t>
        </is>
      </c>
      <c r="I92" t="inlineStr">
        <is>
          <t>08.07.2024</t>
        </is>
      </c>
      <c r="J92" t="inlineStr">
        <is>
          <t>Variável pontual</t>
        </is>
      </c>
      <c r="K92" t="inlineStr">
        <is>
          <t>Custas Cível junho</t>
        </is>
      </c>
      <c r="L92" t="n">
        <v>25001091</v>
      </c>
      <c r="O92" t="n">
        <v>10</v>
      </c>
      <c r="P92" t="inlineStr">
        <is>
          <t xml:space="preserve">1301091 </t>
        </is>
      </c>
      <c r="Q92" t="inlineStr">
        <is>
          <t>HONORÁRIOS E DESPESAS</t>
        </is>
      </c>
      <c r="R92" t="inlineStr">
        <is>
          <t>GI52015</t>
        </is>
      </c>
      <c r="S92" t="n">
        <v>622600</v>
      </c>
    </row>
    <row r="93">
      <c r="A93">
        <f>IF(U93&lt;&gt;"","Pago",IF(T93&lt;&gt;"","Enviado para pagamento",IF(N93&lt;&gt;"","Pedido Recepcionado",IF(M93&lt;&gt;"","Pedido Concluído",IF(L93&lt;&gt;"","RC Criada","Lançar Pgto")))))</f>
        <v/>
      </c>
      <c r="B93" t="inlineStr">
        <is>
          <t>RDB - TRAB CVP</t>
        </is>
      </c>
      <c r="C93" t="inlineStr">
        <is>
          <t>Trabalhista</t>
        </is>
      </c>
      <c r="D93" t="inlineStr">
        <is>
          <t>Interno</t>
        </is>
      </c>
      <c r="E93" t="n">
        <v>1092</v>
      </c>
      <c r="F93" t="inlineStr">
        <is>
          <t>Condenação</t>
        </is>
      </c>
      <c r="G93" t="n">
        <v>28897.13</v>
      </c>
      <c r="H93" t="inlineStr">
        <is>
          <t>Junho</t>
        </is>
      </c>
      <c r="I93" t="inlineStr">
        <is>
          <t>13.07.2024</t>
        </is>
      </c>
      <c r="J93" t="inlineStr">
        <is>
          <t>Variável pontual</t>
        </is>
      </c>
      <c r="K93" t="inlineStr">
        <is>
          <t>Condenação Trabalhista junho</t>
        </is>
      </c>
      <c r="L93" t="n">
        <v>25001092</v>
      </c>
      <c r="M93" t="n">
        <v>4500001092</v>
      </c>
      <c r="N93" t="n">
        <v>180001092</v>
      </c>
      <c r="O93" t="n">
        <v>10</v>
      </c>
      <c r="P93" t="inlineStr">
        <is>
          <t xml:space="preserve">1301092 </t>
        </is>
      </c>
      <c r="Q93" t="inlineStr">
        <is>
          <t>TRABALHISTA GERAL</t>
        </is>
      </c>
      <c r="R93" t="inlineStr">
        <is>
          <t>GI52015</t>
        </is>
      </c>
      <c r="S93" t="n">
        <v>622600</v>
      </c>
      <c r="T93" t="inlineStr">
        <is>
          <t>10.06.2024</t>
        </is>
      </c>
      <c r="U93" t="n">
        <v>211401092</v>
      </c>
    </row>
    <row r="94">
      <c r="A94">
        <f>IF(U94&lt;&gt;"","Pago",IF(T94&lt;&gt;"","Enviado para pagamento",IF(N94&lt;&gt;"","Pedido Recepcionado",IF(M94&lt;&gt;"","Pedido Concluído",IF(L94&lt;&gt;"","RC Criada","Lançar Pgto")))))</f>
        <v/>
      </c>
      <c r="B94" t="inlineStr">
        <is>
          <t>RDB - TRAB CVP</t>
        </is>
      </c>
      <c r="C94" t="inlineStr">
        <is>
          <t>Trabalhista</t>
        </is>
      </c>
      <c r="D94" t="inlineStr">
        <is>
          <t>ADIANTAMENTO</t>
        </is>
      </c>
      <c r="E94" t="n">
        <v>1093</v>
      </c>
      <c r="F94" t="inlineStr">
        <is>
          <t>acordo</t>
        </is>
      </c>
      <c r="G94" t="n">
        <v>15628.98</v>
      </c>
      <c r="H94" t="inlineStr">
        <is>
          <t>Junho</t>
        </is>
      </c>
      <c r="I94" t="inlineStr">
        <is>
          <t>11.07.2024</t>
        </is>
      </c>
      <c r="J94" t="inlineStr">
        <is>
          <t>variável pontual</t>
        </is>
      </c>
      <c r="K94" t="inlineStr">
        <is>
          <t>acordo Trabalhista junho</t>
        </is>
      </c>
      <c r="L94" t="n">
        <v>25001093</v>
      </c>
      <c r="M94" t="n">
        <v>4500001093</v>
      </c>
      <c r="N94" t="n">
        <v>180001093</v>
      </c>
      <c r="O94" t="n">
        <v>10</v>
      </c>
      <c r="P94" t="inlineStr">
        <is>
          <t xml:space="preserve">1301093 </t>
        </is>
      </c>
      <c r="Q94" t="inlineStr">
        <is>
          <t>TRABALHISTA GERAL</t>
        </is>
      </c>
      <c r="R94" t="inlineStr">
        <is>
          <t>GI52015</t>
        </is>
      </c>
      <c r="S94" t="n">
        <v>622600</v>
      </c>
      <c r="T94" t="inlineStr">
        <is>
          <t>22.06.2024</t>
        </is>
      </c>
      <c r="U94" t="n">
        <v>211401093</v>
      </c>
    </row>
    <row r="95">
      <c r="A95">
        <f>IF(U95&lt;&gt;"","Pago",IF(T95&lt;&gt;"","Enviado para pagamento",IF(N95&lt;&gt;"","Pedido Recepcionado",IF(M95&lt;&gt;"","Pedido Concluído",IF(L95&lt;&gt;"","RC Criada","Lançar Pgto")))))</f>
        <v/>
      </c>
      <c r="B95" t="inlineStr">
        <is>
          <t>RDB - TRAB SUPORTE</t>
        </is>
      </c>
      <c r="C95" t="inlineStr">
        <is>
          <t>Trabalhista</t>
        </is>
      </c>
      <c r="D95" t="inlineStr">
        <is>
          <t>ADIANTAMENTO</t>
        </is>
      </c>
      <c r="E95" t="n">
        <v>1094</v>
      </c>
      <c r="F95" t="inlineStr">
        <is>
          <t>Acordo</t>
        </is>
      </c>
      <c r="G95" t="n">
        <v>9483.26</v>
      </c>
      <c r="H95" t="inlineStr">
        <is>
          <t>Junho</t>
        </is>
      </c>
      <c r="I95" t="inlineStr">
        <is>
          <t>13.07.2024</t>
        </is>
      </c>
      <c r="J95" t="inlineStr">
        <is>
          <t>Variável pontual</t>
        </is>
      </c>
      <c r="K95" t="inlineStr">
        <is>
          <t>Acordo Trabalhista junho</t>
        </is>
      </c>
      <c r="L95" t="n">
        <v>25001094</v>
      </c>
      <c r="M95" t="n">
        <v>4500001094</v>
      </c>
      <c r="O95" t="n">
        <v>10</v>
      </c>
      <c r="P95" t="inlineStr">
        <is>
          <t xml:space="preserve">1301094 </t>
        </is>
      </c>
      <c r="Q95" t="inlineStr">
        <is>
          <t>TRABALHISTA ACORDOS</t>
        </is>
      </c>
      <c r="R95" t="inlineStr">
        <is>
          <t>GI52015</t>
        </is>
      </c>
      <c r="S95" t="n">
        <v>622600</v>
      </c>
    </row>
    <row r="96">
      <c r="A96">
        <f>IF(U96&lt;&gt;"","Pago",IF(T96&lt;&gt;"","Enviado para pagamento",IF(N96&lt;&gt;"","Pedido Recepcionado",IF(M96&lt;&gt;"","Pedido Concluído",IF(L96&lt;&gt;"","RC Criada","Lançar Pgto")))))</f>
        <v/>
      </c>
      <c r="B96" t="inlineStr">
        <is>
          <t>RDB - TRAB PIF</t>
        </is>
      </c>
      <c r="C96" t="inlineStr">
        <is>
          <t>Trabalhista</t>
        </is>
      </c>
      <c r="D96" t="inlineStr">
        <is>
          <t>Interno</t>
        </is>
      </c>
      <c r="E96" t="n">
        <v>1095</v>
      </c>
      <c r="F96" t="inlineStr">
        <is>
          <t>Acordo</t>
        </is>
      </c>
      <c r="G96" t="n">
        <v>23242.69</v>
      </c>
      <c r="H96" t="inlineStr">
        <is>
          <t>Junho</t>
        </is>
      </c>
      <c r="I96" t="inlineStr">
        <is>
          <t>25.07.2024</t>
        </is>
      </c>
      <c r="J96" t="inlineStr">
        <is>
          <t>Variável pontual</t>
        </is>
      </c>
      <c r="K96" t="inlineStr">
        <is>
          <t>Acordo Trabalhista junho</t>
        </is>
      </c>
      <c r="O96" t="n">
        <v>10</v>
      </c>
      <c r="Q96" t="inlineStr">
        <is>
          <t>PIF/PDV</t>
        </is>
      </c>
      <c r="R96" t="inlineStr">
        <is>
          <t>GI52015</t>
        </is>
      </c>
      <c r="S96" t="n">
        <v>622600</v>
      </c>
    </row>
    <row r="97">
      <c r="A97">
        <f>IF(U97&lt;&gt;"","Pago",IF(T97&lt;&gt;"","Enviado para pagamento",IF(N97&lt;&gt;"","Pedido Recepcionado",IF(M97&lt;&gt;"","Pedido Concluído",IF(L97&lt;&gt;"","RC Criada","Lançar Pgto")))))</f>
        <v/>
      </c>
      <c r="B97" t="inlineStr">
        <is>
          <t>RDB - TRIB</t>
        </is>
      </c>
      <c r="C97" t="inlineStr">
        <is>
          <t>Tributário</t>
        </is>
      </c>
      <c r="D97" t="inlineStr">
        <is>
          <t>ADIANTAMENTO</t>
        </is>
      </c>
      <c r="E97" t="n">
        <v>1096</v>
      </c>
      <c r="F97" t="inlineStr">
        <is>
          <t>Honorários</t>
        </is>
      </c>
      <c r="G97" t="n">
        <v>17000</v>
      </c>
      <c r="H97" t="inlineStr">
        <is>
          <t>Junho</t>
        </is>
      </c>
      <c r="I97" t="inlineStr">
        <is>
          <t>06.07.2024</t>
        </is>
      </c>
      <c r="J97" t="inlineStr">
        <is>
          <t>Fixo</t>
        </is>
      </c>
      <c r="K97" t="inlineStr">
        <is>
          <t>Honorários Tributário junho</t>
        </is>
      </c>
      <c r="L97" t="n">
        <v>25001096</v>
      </c>
      <c r="M97" t="n">
        <v>4500001096</v>
      </c>
      <c r="N97" t="n">
        <v>180001096</v>
      </c>
      <c r="O97" t="n">
        <v>10</v>
      </c>
      <c r="P97" t="inlineStr">
        <is>
          <t xml:space="preserve">1301096 </t>
        </is>
      </c>
      <c r="Q97" t="inlineStr">
        <is>
          <t>HONORÁRIOS E DESPESAS</t>
        </is>
      </c>
      <c r="R97" t="inlineStr">
        <is>
          <t>GI52015</t>
        </is>
      </c>
      <c r="S97" t="n">
        <v>622600</v>
      </c>
    </row>
    <row r="98">
      <c r="A98">
        <f>IF(U98&lt;&gt;"","Pago",IF(T98&lt;&gt;"","Enviado para pagamento",IF(N98&lt;&gt;"","Pedido Recepcionado",IF(M98&lt;&gt;"","Pedido Concluído",IF(L98&lt;&gt;"","RC Criada","Lançar Pgto")))))</f>
        <v/>
      </c>
      <c r="B98" t="inlineStr">
        <is>
          <t>RDB - TRIB</t>
        </is>
      </c>
      <c r="C98" t="inlineStr">
        <is>
          <t>Tributário</t>
        </is>
      </c>
      <c r="D98" t="inlineStr">
        <is>
          <t>ADIANTAMENTO</t>
        </is>
      </c>
      <c r="E98" t="n">
        <v>1097</v>
      </c>
      <c r="F98" t="inlineStr">
        <is>
          <t>Custas</t>
        </is>
      </c>
      <c r="G98" t="n">
        <v>2404.25</v>
      </c>
      <c r="H98" t="inlineStr">
        <is>
          <t>Junho</t>
        </is>
      </c>
      <c r="I98" t="inlineStr">
        <is>
          <t>10.07.2024</t>
        </is>
      </c>
      <c r="J98" t="inlineStr">
        <is>
          <t>Variável pontual</t>
        </is>
      </c>
      <c r="K98" t="inlineStr">
        <is>
          <t>Custas Tributário junho</t>
        </is>
      </c>
      <c r="L98" t="n">
        <v>25001097</v>
      </c>
      <c r="O98" t="n">
        <v>10</v>
      </c>
      <c r="P98" t="inlineStr">
        <is>
          <t xml:space="preserve">1301097 </t>
        </is>
      </c>
      <c r="Q98" t="inlineStr">
        <is>
          <t>CORPORATE</t>
        </is>
      </c>
      <c r="R98" t="inlineStr">
        <is>
          <t>GI52015</t>
        </is>
      </c>
      <c r="S98" t="n">
        <v>622600</v>
      </c>
    </row>
    <row r="99">
      <c r="A99">
        <f>IF(U99&lt;&gt;"","Pago",IF(T99&lt;&gt;"","Enviado para pagamento",IF(N99&lt;&gt;"","Pedido Recepcionado",IF(M99&lt;&gt;"","Pedido Concluído",IF(L99&lt;&gt;"","RC Criada","Lançar Pgto")))))</f>
        <v/>
      </c>
      <c r="B99" t="inlineStr">
        <is>
          <t>RDB - DIV</t>
        </is>
      </c>
      <c r="C99" t="inlineStr">
        <is>
          <t xml:space="preserve">LGPD </t>
        </is>
      </c>
      <c r="D99" t="inlineStr">
        <is>
          <t>ADIANTAMENTO</t>
        </is>
      </c>
      <c r="E99" t="n">
        <v>1098</v>
      </c>
      <c r="F99" t="inlineStr">
        <is>
          <t>Honorários</t>
        </is>
      </c>
      <c r="G99" t="n">
        <v>12000</v>
      </c>
      <c r="H99" t="inlineStr">
        <is>
          <t>Junho</t>
        </is>
      </c>
      <c r="I99" t="inlineStr">
        <is>
          <t>22.07.2024</t>
        </is>
      </c>
      <c r="J99" t="inlineStr">
        <is>
          <t>Fixo</t>
        </is>
      </c>
      <c r="K99" t="inlineStr">
        <is>
          <t>Honorários LGPD junho</t>
        </is>
      </c>
      <c r="L99" t="n">
        <v>25001098</v>
      </c>
      <c r="M99" t="n">
        <v>4500001098</v>
      </c>
      <c r="N99" t="n">
        <v>180001098</v>
      </c>
      <c r="O99" t="n">
        <v>10</v>
      </c>
      <c r="P99" t="inlineStr">
        <is>
          <t xml:space="preserve">1301098 </t>
        </is>
      </c>
      <c r="Q99" t="inlineStr">
        <is>
          <t>LGPD GERAL &amp; TERCEIROS</t>
        </is>
      </c>
      <c r="R99" t="inlineStr">
        <is>
          <t>GI52015</t>
        </is>
      </c>
      <c r="S99" t="n">
        <v>622600</v>
      </c>
      <c r="T99" t="inlineStr">
        <is>
          <t>23.06.2024</t>
        </is>
      </c>
      <c r="U99" t="n">
        <v>211401098</v>
      </c>
    </row>
    <row r="100">
      <c r="A100">
        <f>IF(U100&lt;&gt;"","Pago",IF(T100&lt;&gt;"","Enviado para pagamento",IF(N100&lt;&gt;"","Pedido Recepcionado",IF(M100&lt;&gt;"","Pedido Concluído",IF(L100&lt;&gt;"","RC Criada","Lançar Pgto")))))</f>
        <v/>
      </c>
      <c r="B100" t="inlineStr">
        <is>
          <t>RDB - DIV</t>
        </is>
      </c>
      <c r="C100" t="inlineStr">
        <is>
          <t xml:space="preserve">LGPD </t>
        </is>
      </c>
      <c r="D100" t="inlineStr">
        <is>
          <t>Interno</t>
        </is>
      </c>
      <c r="E100" t="n">
        <v>1099</v>
      </c>
      <c r="F100" t="inlineStr">
        <is>
          <t xml:space="preserve">LGPD </t>
        </is>
      </c>
      <c r="G100" t="n">
        <v>2427.69</v>
      </c>
      <c r="H100" t="inlineStr">
        <is>
          <t>Junho</t>
        </is>
      </c>
      <c r="I100" t="inlineStr">
        <is>
          <t>07.07.2024</t>
        </is>
      </c>
      <c r="J100" t="inlineStr">
        <is>
          <t>Variável pontual</t>
        </is>
      </c>
      <c r="K100" t="inlineStr">
        <is>
          <t>LGPD LGPD junho</t>
        </is>
      </c>
      <c r="O100" t="n">
        <v>10</v>
      </c>
      <c r="Q100" t="inlineStr">
        <is>
          <t>LGPD GERAL &amp; TERCEIROS</t>
        </is>
      </c>
      <c r="R100" t="inlineStr">
        <is>
          <t>GI52015</t>
        </is>
      </c>
      <c r="S100" t="n">
        <v>622600</v>
      </c>
    </row>
    <row r="101">
      <c r="A101">
        <f>IF(U101&lt;&gt;"","Pago",IF(T101&lt;&gt;"","Enviado para pagamento",IF(N101&lt;&gt;"","Pedido Recepcionado",IF(M101&lt;&gt;"","Pedido Concluído",IF(L101&lt;&gt;"","RC Criada","Lançar Pgto")))))</f>
        <v/>
      </c>
      <c r="B101" t="inlineStr">
        <is>
          <t>RDB - DIV</t>
        </is>
      </c>
      <c r="C101" t="inlineStr">
        <is>
          <t>Cartório</t>
        </is>
      </c>
      <c r="D101" t="inlineStr">
        <is>
          <t>Interno</t>
        </is>
      </c>
      <c r="E101" t="n">
        <v>1100</v>
      </c>
      <c r="F101" t="inlineStr">
        <is>
          <t>Despesas</t>
        </is>
      </c>
      <c r="G101" t="n">
        <v>1767.03</v>
      </c>
      <c r="H101" t="inlineStr">
        <is>
          <t>Junho</t>
        </is>
      </c>
      <c r="I101" t="inlineStr">
        <is>
          <t>22.07.2024</t>
        </is>
      </c>
      <c r="J101" t="inlineStr">
        <is>
          <t xml:space="preserve">Fixo valor variável </t>
        </is>
      </c>
      <c r="K101" t="inlineStr">
        <is>
          <t>Despesas Cartório junho</t>
        </is>
      </c>
      <c r="L101" t="n">
        <v>25001100</v>
      </c>
      <c r="M101" t="n">
        <v>4500001100</v>
      </c>
      <c r="N101" t="n">
        <v>180001100</v>
      </c>
      <c r="O101" t="n">
        <v>10</v>
      </c>
      <c r="P101" t="inlineStr">
        <is>
          <t xml:space="preserve">1301100 </t>
        </is>
      </c>
      <c r="Q101" t="inlineStr">
        <is>
          <t>CARTÓRIO</t>
        </is>
      </c>
      <c r="R101" t="inlineStr">
        <is>
          <t>GI52015</t>
        </is>
      </c>
      <c r="S101" t="n">
        <v>622600</v>
      </c>
      <c r="T101" t="inlineStr">
        <is>
          <t>02.06.2024</t>
        </is>
      </c>
      <c r="U101" t="n">
        <v>211401100</v>
      </c>
    </row>
    <row r="102">
      <c r="A102">
        <f>IF(U102&lt;&gt;"","Pago",IF(T102&lt;&gt;"","Enviado para pagamento",IF(N102&lt;&gt;"","Pedido Recepcionado",IF(M102&lt;&gt;"","Pedido Concluído",IF(L102&lt;&gt;"","RC Criada","Lançar Pgto")))))</f>
        <v/>
      </c>
      <c r="B102" t="inlineStr">
        <is>
          <t>RDB - DIV</t>
        </is>
      </c>
      <c r="C102" t="inlineStr">
        <is>
          <t>Projuris SUPRAMONTE</t>
        </is>
      </c>
      <c r="D102" t="inlineStr">
        <is>
          <t>Interno</t>
        </is>
      </c>
      <c r="E102" t="n">
        <v>1101</v>
      </c>
      <c r="F102" t="inlineStr">
        <is>
          <t>Projuris</t>
        </is>
      </c>
      <c r="G102" t="n">
        <v>2068.72</v>
      </c>
      <c r="H102" t="inlineStr">
        <is>
          <t>Junho</t>
        </is>
      </c>
      <c r="I102" t="inlineStr">
        <is>
          <t>18.07.2024</t>
        </is>
      </c>
      <c r="J102" t="inlineStr">
        <is>
          <t>Fixo</t>
        </is>
      </c>
      <c r="K102" t="inlineStr">
        <is>
          <t>Projuris Projuris SUPRAMONTE junho</t>
        </is>
      </c>
      <c r="L102" t="n">
        <v>25001101</v>
      </c>
      <c r="M102" t="n">
        <v>4500001101</v>
      </c>
      <c r="O102" t="n">
        <v>10</v>
      </c>
      <c r="P102" t="inlineStr">
        <is>
          <t xml:space="preserve">1301101 </t>
        </is>
      </c>
      <c r="Q102" t="inlineStr">
        <is>
          <t>SISTEMAS</t>
        </is>
      </c>
      <c r="R102" t="inlineStr">
        <is>
          <t>GI52015</t>
        </is>
      </c>
      <c r="S102" t="n">
        <v>622600</v>
      </c>
    </row>
    <row r="103">
      <c r="A103">
        <f>IF(U103&lt;&gt;"","Pago",IF(T103&lt;&gt;"","Enviado para pagamento",IF(N103&lt;&gt;"","Pedido Recepcionado",IF(M103&lt;&gt;"","Pedido Concluído",IF(L103&lt;&gt;"","RC Criada","Lançar Pgto")))))</f>
        <v/>
      </c>
      <c r="B103" t="inlineStr">
        <is>
          <t>RDB - DIV</t>
        </is>
      </c>
      <c r="C103" t="inlineStr">
        <is>
          <t>Consumidor</t>
        </is>
      </c>
      <c r="D103" t="inlineStr">
        <is>
          <t>ADIANTAMENTO</t>
        </is>
      </c>
      <c r="E103" t="n">
        <v>1102</v>
      </c>
      <c r="F103" t="inlineStr">
        <is>
          <t>Juros e correção</t>
        </is>
      </c>
      <c r="G103" t="n">
        <v>595.6799999999999</v>
      </c>
      <c r="H103" t="inlineStr">
        <is>
          <t>Junho</t>
        </is>
      </c>
      <c r="I103" t="inlineStr">
        <is>
          <t>06.07.2024</t>
        </is>
      </c>
      <c r="J103" t="inlineStr">
        <is>
          <t>Variável pontual</t>
        </is>
      </c>
      <c r="K103" t="inlineStr">
        <is>
          <t>Juros e correção Consumidor junho</t>
        </is>
      </c>
      <c r="L103" t="n">
        <v>25001102</v>
      </c>
      <c r="M103" t="n">
        <v>4500001102</v>
      </c>
      <c r="O103" t="n">
        <v>10</v>
      </c>
      <c r="P103" t="inlineStr">
        <is>
          <t xml:space="preserve">1301102 </t>
        </is>
      </c>
      <c r="Q103" t="inlineStr">
        <is>
          <t>OUTRA ÁREA</t>
        </is>
      </c>
      <c r="R103" t="inlineStr">
        <is>
          <t>GI52015</t>
        </is>
      </c>
      <c r="S103" t="n">
        <v>622600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R34"/>
  <sheetViews>
    <sheetView workbookViewId="0">
      <selection activeCell="A1" sqref="A1"/>
    </sheetView>
  </sheetViews>
  <sheetFormatPr baseColWidth="8" defaultRowHeight="15"/>
  <sheetData>
    <row r="2">
      <c r="B2" t="inlineStr">
        <is>
          <t>MÊS FECHAMENTO</t>
        </is>
      </c>
      <c r="C2" t="n">
        <v>2</v>
      </c>
      <c r="I2" t="inlineStr">
        <is>
          <t>consumidor</t>
        </is>
      </c>
    </row>
    <row r="3">
      <c r="B3" t="inlineStr">
        <is>
          <t>RESTOS A PAGAR POR MÊS</t>
        </is>
      </c>
    </row>
    <row r="4">
      <c r="B4" t="inlineStr">
        <is>
          <t>EDOA</t>
        </is>
      </c>
      <c r="C4" t="inlineStr">
        <is>
          <t>ÁREA</t>
        </is>
      </c>
      <c r="D4" t="inlineStr">
        <is>
          <t>BUDGET 
ANUAL</t>
        </is>
      </c>
      <c r="E4" t="inlineStr">
        <is>
          <t>PREVISTO</t>
        </is>
      </c>
      <c r="F4" t="inlineStr">
        <is>
          <t>REALIZADO</t>
        </is>
      </c>
      <c r="G4" t="inlineStr">
        <is>
          <t>GAP</t>
        </is>
      </c>
      <c r="H4" t="inlineStr">
        <is>
          <t>BUDGET RESTANTE</t>
        </is>
      </c>
    </row>
    <row r="5">
      <c r="B5" t="inlineStr">
        <is>
          <t>OUTROS (Jurídico)</t>
        </is>
      </c>
      <c r="D5" t="n">
        <v>60000</v>
      </c>
      <c r="E5">
        <f>(D5/12)*$C$2</f>
        <v/>
      </c>
      <c r="F5">
        <f>SUMIF('Controle Lançamentos'!Q:Q,'RAP PAGAMENTOS'!B5,'Controle Lançamentos'!G:G)</f>
        <v/>
      </c>
      <c r="G5">
        <f>E5-F5</f>
        <v/>
      </c>
      <c r="H5">
        <f>D5-F5</f>
        <v/>
      </c>
    </row>
    <row r="6">
      <c r="B6" t="inlineStr">
        <is>
          <t>CARTÓRIO</t>
        </is>
      </c>
      <c r="D6" t="n">
        <v>140000</v>
      </c>
      <c r="E6">
        <f>(D6/12)*$C$2</f>
        <v/>
      </c>
      <c r="F6">
        <f>SUMIF('Controle Lançamentos'!Q:Q,'RAP PAGAMENTOS'!B6,'Controle Lançamentos'!G:G)</f>
        <v/>
      </c>
      <c r="G6">
        <f>E6-F6</f>
        <v/>
      </c>
      <c r="H6">
        <f>D6-F6</f>
        <v/>
      </c>
    </row>
    <row r="7">
      <c r="B7" t="inlineStr">
        <is>
          <t>SISTEMAS</t>
        </is>
      </c>
      <c r="D7" t="n">
        <v>60000</v>
      </c>
      <c r="E7">
        <f>(D7/12)*$C$2</f>
        <v/>
      </c>
      <c r="F7" t="n">
        <v>3</v>
      </c>
      <c r="G7">
        <f>E7-F7</f>
        <v/>
      </c>
      <c r="H7">
        <f>D7-F7</f>
        <v/>
      </c>
    </row>
    <row r="8">
      <c r="B8" t="inlineStr">
        <is>
          <t>SISTEMAS</t>
        </is>
      </c>
      <c r="C8" t="inlineStr">
        <is>
          <t>Projuris SUPRAMONTE</t>
        </is>
      </c>
      <c r="D8" t="n">
        <v>30000</v>
      </c>
      <c r="E8">
        <f>(D8/12)*$C$2</f>
        <v/>
      </c>
      <c r="F8">
        <f>SUMIFS('Controle Lançamentos'!G:G,'Controle Lançamentos'!C:C,'RAP PAGAMENTOS'!C8,'Controle Lançamentos'!Q:Q,'RAP PAGAMENTOS'!$B$7)</f>
        <v/>
      </c>
      <c r="G8">
        <f>E8-F8</f>
        <v/>
      </c>
      <c r="H8">
        <f>D8-F8</f>
        <v/>
      </c>
    </row>
    <row r="9">
      <c r="B9" t="inlineStr">
        <is>
          <t>HONORÁRIOS E DESPESAS</t>
        </is>
      </c>
      <c r="D9" t="n">
        <v>1500000</v>
      </c>
      <c r="E9">
        <f>(D9/12)*$C$2</f>
        <v/>
      </c>
      <c r="F9">
        <f>SUMIF('Controle Lançamentos'!Q:Q,'RAP PAGAMENTOS'!B9,'Controle Lançamentos'!G:G)</f>
        <v/>
      </c>
      <c r="G9">
        <f>E9-F9</f>
        <v/>
      </c>
      <c r="H9">
        <f>D9-F9</f>
        <v/>
      </c>
    </row>
    <row r="10">
      <c r="B10" t="inlineStr">
        <is>
          <t>HONORÁRIOS E DESPESAS</t>
        </is>
      </c>
      <c r="C10" t="inlineStr">
        <is>
          <t>Cível</t>
        </is>
      </c>
      <c r="D10" t="n">
        <v>90000</v>
      </c>
      <c r="E10">
        <f>(D10/12)*$C$2</f>
        <v/>
      </c>
      <c r="F10">
        <f>SUMIFS('Controle Lançamentos'!G:G,'Controle Lançamentos'!C:C,'RAP PAGAMENTOS'!C10,'Controle Lançamentos'!Q:Q,'RAP PAGAMENTOS'!$B$9)</f>
        <v/>
      </c>
      <c r="G10">
        <f>E10-F10</f>
        <v/>
      </c>
      <c r="H10">
        <f>D10-F10</f>
        <v/>
      </c>
    </row>
    <row r="11">
      <c r="B11" t="inlineStr">
        <is>
          <t>HONORÁRIOS E DESPESAS</t>
        </is>
      </c>
      <c r="C11" t="inlineStr">
        <is>
          <t>Consumidor</t>
        </is>
      </c>
      <c r="D11" t="n">
        <v>400000</v>
      </c>
      <c r="E11">
        <f>(D11/12)*$C$2</f>
        <v/>
      </c>
      <c r="F11">
        <f>SUMIFS('Controle Lançamentos'!G:G,'Controle Lançamentos'!C:C,'RAP PAGAMENTOS'!C11,'Controle Lançamentos'!Q:Q,'RAP PAGAMENTOS'!$B$9)</f>
        <v/>
      </c>
      <c r="G11">
        <f>E11-F11</f>
        <v/>
      </c>
      <c r="H11">
        <f>D11-F11</f>
        <v/>
      </c>
    </row>
    <row r="12">
      <c r="B12" t="inlineStr">
        <is>
          <t>HONORÁRIOS E DESPESAS</t>
        </is>
      </c>
      <c r="C12" t="inlineStr">
        <is>
          <t>Tributário</t>
        </is>
      </c>
      <c r="D12" t="n">
        <v>210000</v>
      </c>
      <c r="E12">
        <f>(D12/12)*$C$2</f>
        <v/>
      </c>
      <c r="F12">
        <f>SUMIFS('Controle Lançamentos'!G:G,'Controle Lançamentos'!C:C,'RAP PAGAMENTOS'!C12,'Controle Lançamentos'!Q:Q,'RAP PAGAMENTOS'!$B$9)</f>
        <v/>
      </c>
      <c r="G12">
        <f>E12-F12</f>
        <v/>
      </c>
      <c r="H12">
        <f>D12-F12</f>
        <v/>
      </c>
    </row>
    <row r="13">
      <c r="B13" t="inlineStr">
        <is>
          <t>PIF/PDV</t>
        </is>
      </c>
      <c r="D13" t="n">
        <v>150000</v>
      </c>
      <c r="E13">
        <f>(D13/12)*$C$2</f>
        <v/>
      </c>
      <c r="F13">
        <f>SUMIF('Controle Lançamentos'!Q:Q,'RAP PAGAMENTOS'!B13,'Controle Lançamentos'!G:G)</f>
        <v/>
      </c>
      <c r="G13">
        <f>E13-F13</f>
        <v/>
      </c>
      <c r="H13">
        <f>D13-F13</f>
        <v/>
      </c>
    </row>
    <row r="14">
      <c r="B14" t="inlineStr">
        <is>
          <t>CORPORATE</t>
        </is>
      </c>
      <c r="D14" t="n">
        <v>700000</v>
      </c>
      <c r="E14">
        <f>(D14/12)*$C$2</f>
        <v/>
      </c>
      <c r="F14">
        <f>SUMIF('Controle Lançamentos'!Q:Q,'RAP PAGAMENTOS'!B14,'Controle Lançamentos'!G:G)</f>
        <v/>
      </c>
      <c r="G14">
        <f>E14-F14</f>
        <v/>
      </c>
      <c r="H14">
        <f>D14-F14</f>
        <v/>
      </c>
    </row>
    <row r="15">
      <c r="B15" t="inlineStr">
        <is>
          <t>CORPORATE</t>
        </is>
      </c>
      <c r="C15" t="inlineStr">
        <is>
          <t>Consumidor - Condenação</t>
        </is>
      </c>
      <c r="D15" t="n">
        <v>600000</v>
      </c>
      <c r="E15">
        <f>(D15/12)*$C$2</f>
        <v/>
      </c>
      <c r="F15">
        <f>SUMIFS('Controle Lançamentos'!G:G,'Controle Lançamentos'!C:C,"consumidor",'Controle Lançamentos'!Q:Q,'RAP PAGAMENTOS'!$B$14)</f>
        <v/>
      </c>
      <c r="G15">
        <f>E15-F15</f>
        <v/>
      </c>
      <c r="H15">
        <f>D15-F15</f>
        <v/>
      </c>
    </row>
    <row r="16">
      <c r="B16" t="inlineStr">
        <is>
          <t>ACORDOS CONSUMIDOR</t>
        </is>
      </c>
      <c r="C16" t="inlineStr">
        <is>
          <t>Consumidor - Acordo</t>
        </is>
      </c>
      <c r="D16" t="n">
        <v>100000</v>
      </c>
      <c r="E16">
        <f>(D16/12)*$C$2</f>
        <v/>
      </c>
      <c r="F16">
        <f>SUMIFS('Controle Lançamentos'!G:G,'Controle Lançamentos'!C:C,'RAP PAGAMENTOS'!I2,'Controle Lançamentos'!Q:Q,'RAP PAGAMENTOS'!$B$16)</f>
        <v/>
      </c>
      <c r="G16">
        <f>E16-F16</f>
        <v/>
      </c>
      <c r="H16">
        <f>D16-F16</f>
        <v/>
      </c>
    </row>
    <row r="17">
      <c r="B17" t="inlineStr">
        <is>
          <t>ACORDOS SAC</t>
        </is>
      </c>
      <c r="C17" t="inlineStr">
        <is>
          <t>Consumidor - Projeto SAC</t>
        </is>
      </c>
      <c r="D17" t="n">
        <v>60000</v>
      </c>
      <c r="E17">
        <f>(D17/12)*$C$2</f>
        <v/>
      </c>
      <c r="F17">
        <f>SUMIFS('Controle Lançamentos'!G:G,'Controle Lançamentos'!C:C,"Acordo Projeto SAC",'Controle Lançamentos'!Q:Q,'RAP PAGAMENTOS'!$B$17)</f>
        <v/>
      </c>
      <c r="G17">
        <f>E17-F17</f>
        <v/>
      </c>
      <c r="H17">
        <f>D17-F17</f>
        <v/>
      </c>
    </row>
    <row r="18">
      <c r="B18" t="inlineStr">
        <is>
          <t>TRIBUTÁRIO</t>
        </is>
      </c>
      <c r="C18" t="inlineStr">
        <is>
          <t>Tributário</t>
        </is>
      </c>
      <c r="D18" t="n">
        <v>20000</v>
      </c>
      <c r="E18">
        <f>(D18/12)*$C$2</f>
        <v/>
      </c>
      <c r="F18">
        <f>SUMIFS('Controle Lançamentos'!G:G,'Controle Lançamentos'!C:C,'RAP PAGAMENTOS'!C18,'Controle Lançamentos'!Q:Q,'RAP PAGAMENTOS'!$B$14)</f>
        <v/>
      </c>
      <c r="G18">
        <f>E18-F18</f>
        <v/>
      </c>
      <c r="H18">
        <f>D18-F18</f>
        <v/>
      </c>
    </row>
    <row r="19">
      <c r="B19" t="inlineStr">
        <is>
          <t>DEPÓSITO JUDICIAL</t>
        </is>
      </c>
      <c r="D19" t="n">
        <v>0</v>
      </c>
      <c r="E19">
        <f>(D19/12)*$C$2</f>
        <v/>
      </c>
      <c r="F19">
        <f>SUMIFS('Controle Lançamentos'!G:G,'Controle Lançamentos'!C:C,'RAP PAGAMENTOS'!C19,'Controle Lançamentos'!Q:Q,'RAP PAGAMENTOS'!$B$14)</f>
        <v/>
      </c>
      <c r="G19">
        <f>E19-F19</f>
        <v/>
      </c>
      <c r="H19">
        <f>D19-F19</f>
        <v/>
      </c>
    </row>
    <row r="20">
      <c r="B20" t="inlineStr">
        <is>
          <t>DEPÓSITO JUDICIAL</t>
        </is>
      </c>
      <c r="C20" t="inlineStr">
        <is>
          <t>Consumidor</t>
        </is>
      </c>
      <c r="D20" t="n">
        <v>0</v>
      </c>
      <c r="E20">
        <f>(D20/12)*$C$2</f>
        <v/>
      </c>
      <c r="F20">
        <f>SUMIFS('Controle Lançamentos'!G:G,'Controle Lançamentos'!C:C,'RAP PAGAMENTOS'!C20,'Controle Lançamentos'!Q:Q,'RAP PAGAMENTOS'!$B$14)</f>
        <v/>
      </c>
      <c r="G20">
        <f>E20-F20</f>
        <v/>
      </c>
      <c r="H20">
        <f>D20-F20</f>
        <v/>
      </c>
    </row>
    <row r="21">
      <c r="B21" t="inlineStr">
        <is>
          <t>LGPD GERAL &amp; TERCEIROS</t>
        </is>
      </c>
      <c r="C21" t="inlineStr">
        <is>
          <t>LGPD</t>
        </is>
      </c>
      <c r="D21" t="n">
        <v>200000</v>
      </c>
      <c r="E21">
        <f>(D21/12)*$C$2</f>
        <v/>
      </c>
      <c r="F21">
        <f>SUMIF('Controle Lançamentos'!Q:Q,'RAP PAGAMENTOS'!B21,'Controle Lançamentos'!G:G)</f>
        <v/>
      </c>
      <c r="G21">
        <f>E21-F21</f>
        <v/>
      </c>
      <c r="H21">
        <f>D21-F21</f>
        <v/>
      </c>
    </row>
    <row r="22">
      <c r="B22" t="inlineStr">
        <is>
          <t>TRABALHISTA ACORDOS</t>
        </is>
      </c>
      <c r="C22" t="inlineStr">
        <is>
          <t>Trabalhista</t>
        </is>
      </c>
      <c r="D22" t="n">
        <v>80000</v>
      </c>
      <c r="E22">
        <f>(D22/12)*$C$2</f>
        <v/>
      </c>
      <c r="F22">
        <f>SUMIF('Controle Lançamentos'!Q:Q,'RAP PAGAMENTOS'!B22,'Controle Lançamentos'!G:G)</f>
        <v/>
      </c>
      <c r="G22">
        <f>E22-F22</f>
        <v/>
      </c>
      <c r="H22">
        <f>D22-F22</f>
        <v/>
      </c>
    </row>
    <row r="23">
      <c r="B23" t="inlineStr">
        <is>
          <t>TRABALHISTA GERAL</t>
        </is>
      </c>
      <c r="C23" t="inlineStr">
        <is>
          <t>Trabalhista</t>
        </is>
      </c>
      <c r="D23" t="n">
        <v>1100000</v>
      </c>
      <c r="E23">
        <f>(D23/12)*$C$2</f>
        <v/>
      </c>
      <c r="F23">
        <f>SUMIF('Controle Lançamentos'!Q:Q,'RAP PAGAMENTOS'!B23,'Controle Lançamentos'!G:G)</f>
        <v/>
      </c>
      <c r="G23">
        <f>E23-F23</f>
        <v/>
      </c>
      <c r="H23">
        <f>D23-F23</f>
        <v/>
      </c>
    </row>
    <row r="30">
      <c r="B30" t="inlineStr">
        <is>
          <t>HONORÁRIOS E DESPESAS</t>
        </is>
      </c>
    </row>
    <row r="31">
      <c r="B31" t="inlineStr">
        <is>
          <t>ÁREA</t>
        </is>
      </c>
      <c r="D31" t="inlineStr">
        <is>
          <t>BUDGET 
ANUAL</t>
        </is>
      </c>
      <c r="E31" t="inlineStr">
        <is>
          <t>PREVISTO</t>
        </is>
      </c>
      <c r="F31" t="inlineStr">
        <is>
          <t>REAL 
TOTAL</t>
        </is>
      </c>
      <c r="G31" t="inlineStr">
        <is>
          <t>GAP</t>
        </is>
      </c>
      <c r="H31" t="inlineStr">
        <is>
          <t>BUDGET RESTANTE</t>
        </is>
      </c>
      <c r="I31" t="inlineStr">
        <is>
          <t>BUDGET
VARIÁVEL</t>
        </is>
      </c>
      <c r="J31" t="inlineStr">
        <is>
          <t>PREVISTO
VARIÁVEL</t>
        </is>
      </c>
      <c r="K31" t="inlineStr">
        <is>
          <t>REAL
VARIÁVEL</t>
        </is>
      </c>
      <c r="L31" t="inlineStr">
        <is>
          <t>GAP
VARIÁVEL</t>
        </is>
      </c>
      <c r="M31" t="inlineStr">
        <is>
          <t>RESTANTE VARIÁVEL ATÉ DEZ</t>
        </is>
      </c>
      <c r="N31" t="inlineStr">
        <is>
          <t>BUDGET 
FIXO</t>
        </is>
      </c>
      <c r="O31" t="inlineStr">
        <is>
          <t>PREVISTO
FIXO</t>
        </is>
      </c>
      <c r="P31" t="inlineStr">
        <is>
          <t>REAL
FIXO</t>
        </is>
      </c>
      <c r="Q31" t="inlineStr">
        <is>
          <t>GAP
FIXO</t>
        </is>
      </c>
      <c r="R31" t="inlineStr">
        <is>
          <t>RESTANTE FIXO ATÉ DEZ</t>
        </is>
      </c>
    </row>
    <row r="32">
      <c r="B32" t="inlineStr">
        <is>
          <t>Cível</t>
        </is>
      </c>
      <c r="C32" t="inlineStr">
        <is>
          <t>Cível</t>
        </is>
      </c>
      <c r="D32" t="n">
        <v>90000</v>
      </c>
      <c r="E32">
        <f>(D32/12)*$C$2</f>
        <v/>
      </c>
      <c r="F32">
        <f>SUMIFS('Controle Lançamentos'!G:G,'Controle Lançamentos'!C:C,'RAP PAGAMENTOS'!B32,'Controle Lançamentos'!Q:Q,'RAP PAGAMENTOS'!$B$9)</f>
        <v/>
      </c>
      <c r="G32">
        <f>E32-F32</f>
        <v/>
      </c>
      <c r="H32">
        <f>D32-F32</f>
        <v/>
      </c>
      <c r="I32" t="n">
        <v>20000</v>
      </c>
      <c r="J32">
        <f>(I32/12)*$C$2</f>
        <v/>
      </c>
      <c r="K32">
        <f>SUMIFS('Controle Lançamentos'!G:G,'Controle Lançamentos'!C:C,'RAP PAGAMENTOS'!B32,'Controle Lançamentos'!Q:Q,'RAP PAGAMENTOS'!$B$9,'Controle Lançamentos'!J:J,"Variável")</f>
        <v/>
      </c>
      <c r="L32">
        <f>J32-K32</f>
        <v/>
      </c>
      <c r="M32">
        <f>I32-K32</f>
        <v/>
      </c>
      <c r="N32" t="n">
        <v>70000</v>
      </c>
      <c r="O32">
        <f>(N32/12)*$C$2</f>
        <v/>
      </c>
      <c r="P32">
        <f>SUMIFS('Controle Lançamentos'!G:G,'Controle Lançamentos'!C:C,'RAP PAGAMENTOS'!B32,'Controle Lançamentos'!Q:Q,'RAP PAGAMENTOS'!$B$9,'Controle Lançamentos'!J:J,"Fixo")</f>
        <v/>
      </c>
      <c r="Q32">
        <f>O32-P32</f>
        <v/>
      </c>
      <c r="R32">
        <f>N32-P32</f>
        <v/>
      </c>
    </row>
    <row r="33">
      <c r="B33" t="inlineStr">
        <is>
          <t>Consumidor</t>
        </is>
      </c>
      <c r="C33" t="inlineStr">
        <is>
          <t>Consumidor</t>
        </is>
      </c>
      <c r="D33" t="n">
        <v>400000</v>
      </c>
      <c r="E33">
        <f>(D33/12)*$C$2</f>
        <v/>
      </c>
      <c r="F33">
        <f>SUMIFS('Controle Lançamentos'!G:G,'Controle Lançamentos'!C:C,'RAP PAGAMENTOS'!B33,'Controle Lançamentos'!Q:Q,'RAP PAGAMENTOS'!$B$9)</f>
        <v/>
      </c>
      <c r="G33">
        <f>E33-F33</f>
        <v/>
      </c>
      <c r="H33">
        <f>D33-F33</f>
        <v/>
      </c>
      <c r="I33" t="n">
        <v>40000</v>
      </c>
      <c r="J33">
        <f>(I33/12)*$C$2</f>
        <v/>
      </c>
      <c r="K33">
        <f>SUMIFS('Controle Lançamentos'!G:G,'Controle Lançamentos'!C:C,'RAP PAGAMENTOS'!B33,'Controle Lançamentos'!Q:Q,'RAP PAGAMENTOS'!$B$9,'Controle Lançamentos'!J:J,"Variável")</f>
        <v/>
      </c>
      <c r="L33">
        <f>J33-K33</f>
        <v/>
      </c>
      <c r="M33">
        <f>I33-K33</f>
        <v/>
      </c>
      <c r="N33" t="n">
        <v>360000</v>
      </c>
      <c r="O33">
        <f>(N33/12)*$C$2</f>
        <v/>
      </c>
      <c r="P33">
        <f>SUMIFS('Controle Lançamentos'!G:G,'Controle Lançamentos'!C:C,'RAP PAGAMENTOS'!B33,'Controle Lançamentos'!Q:Q,'RAP PAGAMENTOS'!$B$9,'Controle Lançamentos'!J:J,"Fixo")</f>
        <v/>
      </c>
      <c r="Q33">
        <f>O33-P33</f>
        <v/>
      </c>
      <c r="R33">
        <f>N33-P33</f>
        <v/>
      </c>
    </row>
    <row r="34">
      <c r="B34" t="inlineStr">
        <is>
          <t>Tributário</t>
        </is>
      </c>
      <c r="C34" t="inlineStr">
        <is>
          <t>Tributário</t>
        </is>
      </c>
      <c r="D34" t="n">
        <v>210000</v>
      </c>
      <c r="E34">
        <f>(D34/12)*$C$2</f>
        <v/>
      </c>
      <c r="F34">
        <f>SUMIFS('Controle Lançamentos'!G:G,'Controle Lançamentos'!C:C,'RAP PAGAMENTOS'!B34,'Controle Lançamentos'!Q:Q,'RAP PAGAMENTOS'!$B$9)</f>
        <v/>
      </c>
      <c r="G34">
        <f>E34-F34</f>
        <v/>
      </c>
      <c r="H34">
        <f>D34-F34</f>
        <v/>
      </c>
      <c r="I34" t="n">
        <v>6000</v>
      </c>
      <c r="J34">
        <f>(I34/12)*$C$2</f>
        <v/>
      </c>
      <c r="K34">
        <f>SUMIFS('Controle Lançamentos'!G:G,'Controle Lançamentos'!C:C,'RAP PAGAMENTOS'!B34,'Controle Lançamentos'!Q:Q,'RAP PAGAMENTOS'!$B$9,'Controle Lançamentos'!J:J,"Variável")</f>
        <v/>
      </c>
      <c r="L34">
        <f>J34-K34</f>
        <v/>
      </c>
      <c r="M34">
        <f>I34-K34</f>
        <v/>
      </c>
      <c r="N34" t="n">
        <v>204000</v>
      </c>
      <c r="O34">
        <f>(N34/12)*$C$2</f>
        <v/>
      </c>
      <c r="P34">
        <f>SUMIFS('Controle Lançamentos'!G:G,'Controle Lançamentos'!C:C,'RAP PAGAMENTOS'!B34,'Controle Lançamentos'!Q:Q,'RAP PAGAMENTOS'!$B$9,'Controle Lançamentos'!J:J,"Fixo")</f>
        <v/>
      </c>
      <c r="Q34">
        <f>O34-P34</f>
        <v/>
      </c>
      <c r="R34">
        <f>N34-P34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Ok na Planilha de pagamentos</t>
        </is>
      </c>
      <c r="C1" t="inlineStr">
        <is>
          <t>Área</t>
        </is>
      </c>
      <c r="D1" t="inlineStr">
        <is>
          <t>Valor</t>
        </is>
      </c>
      <c r="E1" t="inlineStr">
        <is>
          <t>Chamado do adiantamento</t>
        </is>
      </c>
      <c r="F1" t="inlineStr">
        <is>
          <t>DOA</t>
        </is>
      </c>
      <c r="G1" t="inlineStr">
        <is>
          <t>Nº chamado da baixa</t>
        </is>
      </c>
      <c r="H1" t="inlineStr">
        <is>
          <t>Valor Excedente</t>
        </is>
      </c>
      <c r="I1" t="inlineStr">
        <is>
          <t>Valor total do adiantamento</t>
        </is>
      </c>
      <c r="J1" t="inlineStr">
        <is>
          <t>Baixa do Adiantamento</t>
        </is>
      </c>
      <c r="L1" t="inlineStr">
        <is>
          <t>Escritório</t>
        </is>
      </c>
    </row>
    <row r="2">
      <c r="A2">
        <f>IF(J2&lt;&gt;"","Adiantamento Baixado",IF(G2&lt;&gt;"","Baixa lançada",IF(E2&lt;&gt;"","Adiantamento Lançado","Lançar adiantamento")))</f>
        <v/>
      </c>
      <c r="B2" t="inlineStr">
        <is>
          <t>Ok</t>
        </is>
      </c>
      <c r="C2" t="inlineStr">
        <is>
          <t>Trabalhista</t>
        </is>
      </c>
      <c r="D2" t="n">
        <v>500000</v>
      </c>
      <c r="E2" t="n">
        <v>1317001</v>
      </c>
      <c r="F2" t="inlineStr">
        <is>
          <t>TRABALHISTA</t>
        </is>
      </c>
      <c r="G2" t="n">
        <v>1345001</v>
      </c>
      <c r="H2" t="n">
        <v>1200.5</v>
      </c>
      <c r="I2">
        <f>D2+H2</f>
        <v/>
      </c>
      <c r="J2" t="n">
        <v>294918001</v>
      </c>
      <c r="L2" t="inlineStr">
        <is>
          <t>Escritório Alfa Advogados</t>
        </is>
      </c>
    </row>
    <row r="3">
      <c r="A3">
        <f>IF(J3&lt;&gt;"","Adiantamento Baixado",IF(G3&lt;&gt;"","Baixa lançada",IF(E3&lt;&gt;"","Adiantamento Lançado","Lançar adiantamento")))</f>
        <v/>
      </c>
      <c r="B3" t="inlineStr">
        <is>
          <t>Ok</t>
        </is>
      </c>
      <c r="C3" t="inlineStr">
        <is>
          <t>Consumidor</t>
        </is>
      </c>
      <c r="D3" t="n">
        <v>300000</v>
      </c>
      <c r="E3" t="n">
        <v>1322002</v>
      </c>
      <c r="F3" t="inlineStr">
        <is>
          <t>CORPORATE</t>
        </is>
      </c>
      <c r="G3" t="n">
        <v>1343002</v>
      </c>
      <c r="H3" t="n">
        <v>0</v>
      </c>
      <c r="I3">
        <f>D3+H3</f>
        <v/>
      </c>
      <c r="L3" t="inlineStr">
        <is>
          <t>Beta &amp; Associados</t>
        </is>
      </c>
    </row>
    <row r="4">
      <c r="A4">
        <f>IF(J4&lt;&gt;"","Adiantamento Baixado",IF(G4&lt;&gt;"","Baixa lançada",IF(E4&lt;&gt;"","Adiantamento Lançado","Lançar adiantamento")))</f>
        <v/>
      </c>
      <c r="C4" t="inlineStr">
        <is>
          <t>Consumidor</t>
        </is>
      </c>
      <c r="D4" t="n">
        <v>250000</v>
      </c>
      <c r="E4" t="n">
        <v>1399003</v>
      </c>
      <c r="F4" t="inlineStr">
        <is>
          <t>CORPORATE</t>
        </is>
      </c>
      <c r="H4" t="n">
        <v>0</v>
      </c>
      <c r="I4">
        <f>D4+H4</f>
        <v/>
      </c>
      <c r="L4" t="inlineStr">
        <is>
          <t>Gama Consultoria Jurídica</t>
        </is>
      </c>
    </row>
    <row r="5">
      <c r="A5">
        <f>IF(J5&lt;&gt;"","Adiantamento Baixado",IF(G5&lt;&gt;"","Baixa lançada",IF(E5&lt;&gt;"","Adiantamento Lançado","Lançar adiantamento")))</f>
        <v/>
      </c>
      <c r="C5" t="inlineStr">
        <is>
          <t>Trabalhista</t>
        </is>
      </c>
      <c r="D5" t="n">
        <v>150000</v>
      </c>
      <c r="F5" t="inlineStr">
        <is>
          <t>TRABALHISTA</t>
        </is>
      </c>
      <c r="H5" t="n">
        <v>0</v>
      </c>
      <c r="I5">
        <f>D5+H5</f>
        <v/>
      </c>
      <c r="L5" t="inlineStr">
        <is>
          <t>Delta Advocacia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S7"/>
  <sheetViews>
    <sheetView workbookViewId="0">
      <selection activeCell="A1" sqref="A1"/>
    </sheetView>
  </sheetViews>
  <sheetFormatPr baseColWidth="8" defaultRowHeight="15"/>
  <sheetData>
    <row r="2">
      <c r="A2" t="inlineStr">
        <is>
          <t>DOA</t>
        </is>
      </c>
      <c r="B2" t="inlineStr">
        <is>
          <t>ÁREA</t>
        </is>
      </c>
      <c r="C2" t="inlineStr">
        <is>
          <t>DETALHAMENTO</t>
        </is>
      </c>
      <c r="D2" t="inlineStr">
        <is>
          <t>RECORRÊNCIA</t>
        </is>
      </c>
      <c r="E2" t="inlineStr">
        <is>
          <t>JAN</t>
        </is>
      </c>
      <c r="F2" t="inlineStr">
        <is>
          <t>FEV</t>
        </is>
      </c>
      <c r="G2" t="inlineStr">
        <is>
          <t>MAR</t>
        </is>
      </c>
      <c r="H2" t="inlineStr">
        <is>
          <t>ABR</t>
        </is>
      </c>
      <c r="I2" t="inlineStr">
        <is>
          <t>MAI</t>
        </is>
      </c>
      <c r="J2" t="inlineStr">
        <is>
          <t>JUN</t>
        </is>
      </c>
      <c r="K2" t="inlineStr">
        <is>
          <t>JUL</t>
        </is>
      </c>
      <c r="L2" t="inlineStr">
        <is>
          <t>AGO</t>
        </is>
      </c>
      <c r="M2" t="inlineStr">
        <is>
          <t>SET</t>
        </is>
      </c>
      <c r="N2" t="inlineStr">
        <is>
          <t>OUT</t>
        </is>
      </c>
      <c r="O2" t="inlineStr">
        <is>
          <t>NOV</t>
        </is>
      </c>
      <c r="P2" t="inlineStr">
        <is>
          <t>DEZ</t>
        </is>
      </c>
      <c r="Q2" t="inlineStr">
        <is>
          <t>BUDGET</t>
        </is>
      </c>
      <c r="R2" t="inlineStr">
        <is>
          <t>REAL</t>
        </is>
      </c>
      <c r="S2" t="inlineStr">
        <is>
          <t>SALDO</t>
        </is>
      </c>
    </row>
    <row r="3">
      <c r="A3" t="inlineStr">
        <is>
          <t>HONORÁRIOS E DESPESAS</t>
        </is>
      </c>
      <c r="B3" t="inlineStr">
        <is>
          <t>Tributário</t>
        </is>
      </c>
      <c r="C3" t="inlineStr">
        <is>
          <t>Honorários tributário fixo mensal</t>
        </is>
      </c>
      <c r="D3" t="inlineStr">
        <is>
          <t>Fixo</t>
        </is>
      </c>
      <c r="E3" t="n">
        <v>17000</v>
      </c>
      <c r="F3" t="n">
        <v>17000</v>
      </c>
      <c r="G3" t="n">
        <v>17000</v>
      </c>
      <c r="H3" t="n">
        <v>17000</v>
      </c>
      <c r="I3" t="n">
        <v>17000</v>
      </c>
      <c r="J3" t="n">
        <v>17000</v>
      </c>
      <c r="K3" t="n">
        <v>17000</v>
      </c>
      <c r="L3" t="n">
        <v>17000</v>
      </c>
      <c r="M3" t="n">
        <v>17000</v>
      </c>
      <c r="N3" t="n">
        <v>17000</v>
      </c>
      <c r="O3" t="n">
        <v>17000</v>
      </c>
      <c r="P3" t="n">
        <v>17000</v>
      </c>
      <c r="Q3" t="n">
        <v>204000</v>
      </c>
      <c r="R3">
        <f>SUMIFS('Controle Lançamentos'!G:G,'Controle Lançamentos'!#REF!,'Honorarios Variaveis '!#REF!)</f>
        <v/>
      </c>
      <c r="S3">
        <f>Q3-R3</f>
        <v/>
      </c>
    </row>
    <row r="4">
      <c r="A4" t="inlineStr">
        <is>
          <t>HONORÁRIOS E DESPESAS</t>
        </is>
      </c>
      <c r="B4" t="inlineStr">
        <is>
          <t>Consumidor</t>
        </is>
      </c>
      <c r="C4" t="inlineStr">
        <is>
          <t>Acompanhamento carteira consumidor</t>
        </is>
      </c>
      <c r="D4" t="inlineStr">
        <is>
          <t>Fixo</t>
        </is>
      </c>
      <c r="E4" t="n">
        <v>30000</v>
      </c>
      <c r="F4" t="n">
        <v>30000</v>
      </c>
      <c r="G4" t="n">
        <v>30000</v>
      </c>
      <c r="H4" t="n">
        <v>30000</v>
      </c>
      <c r="I4" t="n">
        <v>30000</v>
      </c>
      <c r="J4" t="n">
        <v>30000</v>
      </c>
      <c r="K4" t="n">
        <v>30000</v>
      </c>
      <c r="L4" t="n">
        <v>30000</v>
      </c>
      <c r="M4" t="n">
        <v>30000</v>
      </c>
      <c r="N4" t="n">
        <v>30000</v>
      </c>
      <c r="O4" t="n">
        <v>30000</v>
      </c>
      <c r="P4" t="n">
        <v>30000</v>
      </c>
      <c r="Q4" t="n">
        <v>360000</v>
      </c>
      <c r="R4">
        <f>SUMIFS('Controle Lançamentos'!G:G,'Controle Lançamentos'!#REF!,'Honorarios Variaveis '!#REF!)</f>
        <v/>
      </c>
      <c r="S4">
        <f>Q4-R4</f>
        <v/>
      </c>
    </row>
    <row r="5">
      <c r="A5" t="inlineStr">
        <is>
          <t>HONORÁRIOS E DESPESAS</t>
        </is>
      </c>
      <c r="B5" t="inlineStr">
        <is>
          <t>Consumidor</t>
        </is>
      </c>
      <c r="C5" t="inlineStr">
        <is>
          <t>Mão de obra terceirizada</t>
        </is>
      </c>
      <c r="D5" t="inlineStr">
        <is>
          <t>Fixo</t>
        </is>
      </c>
      <c r="E5">
        <f>2500.5</f>
        <v/>
      </c>
      <c r="F5">
        <f>2500.5</f>
        <v/>
      </c>
      <c r="G5">
        <f>2500.5</f>
        <v/>
      </c>
      <c r="H5">
        <f>2500.5</f>
        <v/>
      </c>
      <c r="I5">
        <f>2500.5</f>
        <v/>
      </c>
      <c r="J5">
        <f>2500.5</f>
        <v/>
      </c>
      <c r="K5">
        <f>2500.5</f>
        <v/>
      </c>
      <c r="L5">
        <f>2500.5</f>
        <v/>
      </c>
      <c r="M5">
        <f>2500.5</f>
        <v/>
      </c>
      <c r="N5">
        <f>2500.5</f>
        <v/>
      </c>
      <c r="O5">
        <f>2500.5</f>
        <v/>
      </c>
      <c r="P5">
        <f>2500.5</f>
        <v/>
      </c>
      <c r="Q5" t="n">
        <v>30006</v>
      </c>
      <c r="R5">
        <f>SUMIFS('Controle Lançamentos'!G:G,'Controle Lançamentos'!#REF!,'Honorarios Variaveis '!#REF!)</f>
        <v/>
      </c>
      <c r="S5">
        <f>Q5-R5</f>
        <v/>
      </c>
    </row>
    <row r="6">
      <c r="A6" t="inlineStr">
        <is>
          <t>HONORÁRIOS E DESPESAS</t>
        </is>
      </c>
      <c r="B6" t="inlineStr">
        <is>
          <t>Cível</t>
        </is>
      </c>
      <c r="C6" t="inlineStr">
        <is>
          <t>Honorários cível fixo mensal</t>
        </is>
      </c>
      <c r="D6" t="inlineStr">
        <is>
          <t>Fixo</t>
        </is>
      </c>
      <c r="E6" t="n">
        <v>6400</v>
      </c>
      <c r="F6" t="n">
        <v>6400</v>
      </c>
      <c r="G6" t="n">
        <v>6400</v>
      </c>
      <c r="H6" t="n">
        <v>6400</v>
      </c>
      <c r="I6" t="n">
        <v>6400</v>
      </c>
      <c r="J6" t="n">
        <v>6400</v>
      </c>
      <c r="K6" t="n">
        <v>6400</v>
      </c>
      <c r="L6" t="n">
        <v>6400</v>
      </c>
      <c r="M6" t="n">
        <v>6400</v>
      </c>
      <c r="N6" t="n">
        <v>6400</v>
      </c>
      <c r="O6" t="n">
        <v>6400</v>
      </c>
      <c r="P6" t="n">
        <v>6400</v>
      </c>
      <c r="Q6" t="n">
        <v>76800</v>
      </c>
      <c r="R6">
        <f>SUMIFS('Controle Lançamentos'!G:G,'Controle Lançamentos'!#REF!,'Honorarios Variaveis '!#REF!)</f>
        <v/>
      </c>
      <c r="S6">
        <f>Q6-R6</f>
        <v/>
      </c>
    </row>
    <row r="7">
      <c r="A7" t="inlineStr">
        <is>
          <t>HONORÁRIOS E DESPESAS</t>
        </is>
      </c>
      <c r="B7" t="inlineStr">
        <is>
          <t>Cível</t>
        </is>
      </c>
      <c r="C7" t="inlineStr">
        <is>
          <t>Êxito cível</t>
        </is>
      </c>
      <c r="D7" t="inlineStr">
        <is>
          <t>Variável pontual</t>
        </is>
      </c>
      <c r="E7" t="n">
        <v>0</v>
      </c>
      <c r="F7" t="n">
        <v>0</v>
      </c>
      <c r="G7" t="n">
        <v>0</v>
      </c>
      <c r="H7" t="n">
        <v>5000</v>
      </c>
      <c r="I7" t="n">
        <v>5000</v>
      </c>
      <c r="J7" t="n">
        <v>5000</v>
      </c>
      <c r="K7" t="n">
        <v>0</v>
      </c>
      <c r="L7" t="n">
        <v>0</v>
      </c>
      <c r="M7" t="n">
        <v>0</v>
      </c>
      <c r="N7" t="n">
        <v>5000</v>
      </c>
      <c r="O7" t="n">
        <v>0</v>
      </c>
      <c r="P7" t="n">
        <v>0</v>
      </c>
      <c r="Q7" t="n">
        <v>20000</v>
      </c>
      <c r="R7">
        <f>SUMIFS('Controle Lançamentos'!G:G,'Controle Lançamentos'!#REF!,'Honorarios Variaveis '!#REF!)</f>
        <v/>
      </c>
      <c r="S7">
        <f>Q7-R7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Àrea</t>
        </is>
      </c>
      <c r="B1" t="inlineStr">
        <is>
          <t>Recorrência</t>
        </is>
      </c>
      <c r="C1" t="inlineStr">
        <is>
          <t>Valor Mensal</t>
        </is>
      </c>
      <c r="D1" t="inlineStr">
        <is>
          <t>Anual</t>
        </is>
      </c>
      <c r="E1" t="inlineStr">
        <is>
          <t>TRIMESTRAL</t>
        </is>
      </c>
      <c r="F1" t="inlineStr">
        <is>
          <t>MÉDIA VARIAVEIS</t>
        </is>
      </c>
      <c r="G1" t="inlineStr">
        <is>
          <t>Área</t>
        </is>
      </c>
      <c r="H1" t="inlineStr">
        <is>
          <t>Escritório</t>
        </is>
      </c>
      <c r="I1" t="inlineStr">
        <is>
          <t>Valor</t>
        </is>
      </c>
      <c r="K1" t="inlineStr">
        <is>
          <t>Area</t>
        </is>
      </c>
      <c r="L1" t="inlineStr">
        <is>
          <t>Valor</t>
        </is>
      </c>
      <c r="M1" t="inlineStr">
        <is>
          <t>Anual</t>
        </is>
      </c>
    </row>
    <row r="2">
      <c r="A2" t="inlineStr">
        <is>
          <t>Consumidor</t>
        </is>
      </c>
      <c r="B2" t="inlineStr">
        <is>
          <t>Fixo</t>
        </is>
      </c>
      <c r="C2" t="n">
        <v>30000</v>
      </c>
      <c r="D2" t="n">
        <v>360000</v>
      </c>
      <c r="K2" t="inlineStr">
        <is>
          <t>Projuris</t>
        </is>
      </c>
      <c r="L2" t="n">
        <v>2068.72</v>
      </c>
      <c r="M2" t="n">
        <v>24824.64</v>
      </c>
      <c r="N2" t="inlineStr">
        <is>
          <t>Mensal sistema jurídico</t>
        </is>
      </c>
    </row>
    <row r="3">
      <c r="A3" t="inlineStr">
        <is>
          <t>Consumidor</t>
        </is>
      </c>
      <c r="B3" t="inlineStr">
        <is>
          <t>Fixo</t>
        </is>
      </c>
      <c r="C3" t="n">
        <v>30000</v>
      </c>
      <c r="D3" t="n">
        <v>360000</v>
      </c>
      <c r="K3" t="inlineStr">
        <is>
          <t>Implantação</t>
        </is>
      </c>
      <c r="L3" t="n">
        <v>5000</v>
      </c>
      <c r="M3" t="n">
        <v>5000</v>
      </c>
      <c r="N3" t="inlineStr">
        <is>
          <t>Parcela única</t>
        </is>
      </c>
    </row>
    <row r="4">
      <c r="A4" t="inlineStr">
        <is>
          <t>Tributário</t>
        </is>
      </c>
      <c r="B4" t="inlineStr">
        <is>
          <t>Fixo</t>
        </is>
      </c>
      <c r="C4" t="n">
        <v>17000</v>
      </c>
      <c r="D4" t="n">
        <v>204000</v>
      </c>
    </row>
    <row r="5">
      <c r="A5" t="inlineStr">
        <is>
          <t>Cível</t>
        </is>
      </c>
      <c r="B5" t="inlineStr">
        <is>
          <t>Fixo</t>
        </is>
      </c>
      <c r="C5" t="n">
        <v>6400</v>
      </c>
      <c r="D5" t="n">
        <v>76800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FORNECEDOR</t>
        </is>
      </c>
      <c r="C1" t="inlineStr">
        <is>
          <t>CÓDIGO DO BANCO</t>
        </is>
      </c>
      <c r="D1" t="inlineStr">
        <is>
          <t>DATA TRANSF/</t>
        </is>
      </c>
      <c r="E1" t="inlineStr">
        <is>
          <t>PASTA BENNER</t>
        </is>
      </c>
      <c r="F1" t="inlineStr">
        <is>
          <t>VALOR DEVOLVIDO</t>
        </is>
      </c>
      <c r="G1" t="inlineStr">
        <is>
          <t>Nº CHAMADO</t>
        </is>
      </c>
      <c r="H1" t="inlineStr">
        <is>
          <t>DOCUMENTO</t>
        </is>
      </c>
      <c r="I1" t="inlineStr">
        <is>
          <t>OBSERVAÇÃO</t>
        </is>
      </c>
    </row>
    <row r="2">
      <c r="A2" t="inlineStr">
        <is>
          <t>Consumidor</t>
        </is>
      </c>
      <c r="B2" t="inlineStr">
        <is>
          <t>Escritório Alfa Advogados</t>
        </is>
      </c>
      <c r="C2" t="n">
        <v>556159</v>
      </c>
      <c r="D2" s="1" t="n">
        <v>45315</v>
      </c>
      <c r="E2" t="inlineStr">
        <is>
          <t>Projuris 101</t>
        </is>
      </c>
      <c r="F2" t="n">
        <v>12000.4</v>
      </c>
      <c r="G2" t="n">
        <v>1339001</v>
      </c>
      <c r="H2" t="n">
        <v>294905001</v>
      </c>
      <c r="I2" t="inlineStr">
        <is>
          <t>RECLASSIFICAR PARA DOA</t>
        </is>
      </c>
      <c r="L2" t="inlineStr">
        <is>
          <t>Consumidor</t>
        </is>
      </c>
      <c r="M2">
        <f>SUMIF(A:A,L2,F:F)</f>
        <v/>
      </c>
    </row>
    <row r="3">
      <c r="A3" t="inlineStr">
        <is>
          <t>Trabalhista</t>
        </is>
      </c>
      <c r="B3" t="inlineStr">
        <is>
          <t>Beta &amp; Associados</t>
        </is>
      </c>
      <c r="C3" t="n">
        <v>556159</v>
      </c>
      <c r="D3" s="1" t="n">
        <v>45334</v>
      </c>
      <c r="E3" t="inlineStr">
        <is>
          <t>Projuris 102</t>
        </is>
      </c>
      <c r="F3" t="n">
        <v>5300</v>
      </c>
      <c r="G3" t="n">
        <v>1341002</v>
      </c>
      <c r="H3" t="n">
        <v>294906002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3:E5"/>
  <sheetViews>
    <sheetView workbookViewId="0">
      <selection activeCell="A1" sqref="A1"/>
    </sheetView>
  </sheetViews>
  <sheetFormatPr baseColWidth="8" defaultRowHeight="15"/>
  <sheetData>
    <row r="3">
      <c r="A3" t="inlineStr">
        <is>
          <t>Jurídico</t>
        </is>
      </c>
      <c r="B3" t="inlineStr">
        <is>
          <t>FADM</t>
        </is>
      </c>
      <c r="C3" t="inlineStr">
        <is>
          <t>GI52000</t>
        </is>
      </c>
      <c r="D3" t="n">
        <v>635110</v>
      </c>
      <c r="E3" t="inlineStr">
        <is>
          <t>Despesas com Estudos e Honorários</t>
        </is>
      </c>
    </row>
    <row r="4">
      <c r="A4" t="inlineStr">
        <is>
          <t>Jurídico</t>
        </is>
      </c>
      <c r="B4" t="inlineStr">
        <is>
          <t>FADM</t>
        </is>
      </c>
      <c r="C4" t="inlineStr">
        <is>
          <t>GI52000</t>
        </is>
      </c>
      <c r="D4" t="n">
        <v>622600</v>
      </c>
      <c r="E4" t="inlineStr">
        <is>
          <t>Honorários advocatícios</t>
        </is>
      </c>
    </row>
    <row r="5">
      <c r="A5" t="inlineStr">
        <is>
          <t>Jurídico</t>
        </is>
      </c>
      <c r="B5" t="inlineStr">
        <is>
          <t>FADM</t>
        </is>
      </c>
      <c r="C5" t="inlineStr">
        <is>
          <t>GI52015</t>
        </is>
      </c>
      <c r="D5" t="n">
        <v>611205</v>
      </c>
      <c r="E5" t="inlineStr">
        <is>
          <t>Acordos trabalhistas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2026-09-22T02:23:37Z</dcterms:created>
  <dcterms:modified xmlns:dcterms="http://purl.org/dc/terms/" xmlns:xsi="http://www.w3.org/2001/XMLSchema-instance" xsi:type="dcterms:W3CDTF">2026-09-22T02:23:37Z</dcterms:modified>
</cp:coreProperties>
</file>